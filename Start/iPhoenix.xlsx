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2D656FB-AE54-49BD-943B-B32B330782F9}" xr6:coauthVersionLast="47" xr6:coauthVersionMax="47" xr10:uidLastSave="{00000000-0000-0000-0000-000000000000}"/>
  <bookViews>
    <workbookView xWindow="-120" yWindow="-120" windowWidth="51840" windowHeight="21840" tabRatio="500" activeTab="2" xr2:uid="{00000000-000D-0000-FFFF-FFFF00000000}"/>
  </bookViews>
  <sheets>
    <sheet name="💻 Ноутбуки" sheetId="1" r:id="rId1"/>
    <sheet name="📱 Телефони" sheetId="2" r:id="rId2"/>
    <sheet name="📟 Планшети" sheetId="3" r:id="rId3"/>
    <sheet name="📊 Зведення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69" i="2" l="1"/>
  <c r="I87" i="1"/>
  <c r="B6" i="4"/>
  <c r="B5" i="4"/>
  <c r="B4" i="4"/>
  <c r="A2" i="4"/>
  <c r="H48" i="3"/>
  <c r="C6" i="4" s="1"/>
  <c r="A2" i="3"/>
  <c r="C5" i="4"/>
  <c r="A2" i="2"/>
  <c r="C4" i="4"/>
  <c r="A2" i="1"/>
  <c r="C7" i="4" l="1"/>
  <c r="B7" i="4"/>
  <c r="D4" i="4"/>
  <c r="E4" i="4" s="1"/>
  <c r="D5" i="4"/>
  <c r="E5" i="4" s="1"/>
  <c r="D6" i="4"/>
  <c r="E6" i="4" s="1"/>
  <c r="D7" i="4" l="1"/>
</calcChain>
</file>

<file path=xl/sharedStrings.xml><?xml version="1.0" encoding="utf-8"?>
<sst xmlns="http://schemas.openxmlformats.org/spreadsheetml/2006/main" count="1282" uniqueCount="91">
  <si>
    <t>📦 ІНВЕНТАРИЗАЦІЯ ЗАПАСНИХ ЧАСТИН — НОУТБУКИ</t>
  </si>
  <si>
    <t>№</t>
  </si>
  <si>
    <t>Марка / Модель</t>
  </si>
  <si>
    <t>Корпус</t>
  </si>
  <si>
    <t>Екран</t>
  </si>
  <si>
    <t>Клавіатура</t>
  </si>
  <si>
    <t>АКБ</t>
  </si>
  <si>
    <t>Материнська плата</t>
  </si>
  <si>
    <t>Стан</t>
  </si>
  <si>
    <t>Ціна запчастин (Zł)</t>
  </si>
  <si>
    <t>Примітки</t>
  </si>
  <si>
    <t>✅ Хорошее</t>
  </si>
  <si>
    <t>Сенсорний екран</t>
  </si>
  <si>
    <t>❌ Плохое</t>
  </si>
  <si>
    <t>⚠️ Среднее</t>
  </si>
  <si>
    <t>Клава та Linux</t>
  </si>
  <si>
    <t>?</t>
  </si>
  <si>
    <t>🔧 На ремонт</t>
  </si>
  <si>
    <t>Немає зображення</t>
  </si>
  <si>
    <t>Airis</t>
  </si>
  <si>
    <t>РАЗОМ пристроїв: 5</t>
  </si>
  <si>
    <t>Корпус / скло</t>
  </si>
  <si>
    <t>Дисплей</t>
  </si>
  <si>
    <t>Кнопки</t>
  </si>
  <si>
    <t>Камера</t>
  </si>
  <si>
    <t>Динамік / мікрофон</t>
  </si>
  <si>
    <t>Зарядний роз'єм</t>
  </si>
  <si>
    <t>🔧 На разбор</t>
  </si>
  <si>
    <t>📦 ІНВЕНТАРИЗАЦІЯ ЗАПАСНИХ ЧАСТИН — ПЛАНШЕТИ</t>
  </si>
  <si>
    <t>ЗВЕДЕНА СТАТИСТИКА ІНВЕНТАРИЗАЦІЇ</t>
  </si>
  <si>
    <t>Категорія</t>
  </si>
  <si>
    <t>К-ть пристроїв</t>
  </si>
  <si>
    <t>Сума запчастин (Zł)</t>
  </si>
  <si>
    <t>Ср. ціна (Zł)</t>
  </si>
  <si>
    <t>💻 Ноутбуки</t>
  </si>
  <si>
    <t>📱 Телефони</t>
  </si>
  <si>
    <t>📟 Планшети</t>
  </si>
  <si>
    <t>🔢 РАЗОМ пристроїв</t>
  </si>
  <si>
    <t>ЛЕГЕНДА СТАНУ</t>
  </si>
  <si>
    <t>✅ Хорошее — компонент у хорошому стані</t>
  </si>
  <si>
    <t>⚠️ Середнє — потребує перевірки</t>
  </si>
  <si>
    <t>❌ Погане / Відсутнє — потребує заміни</t>
  </si>
  <si>
    <t>🔧 На ремонт / розбір — виведено з ладу</t>
  </si>
  <si>
    <t>N10040</t>
  </si>
  <si>
    <t>Lenovo</t>
  </si>
  <si>
    <t xml:space="preserve">HP </t>
  </si>
  <si>
    <t>Elite X2</t>
  </si>
  <si>
    <t xml:space="preserve">Apple MacBook </t>
  </si>
  <si>
    <t>Air 2013</t>
  </si>
  <si>
    <t xml:space="preserve"> Yoga 2 13 C80412318</t>
  </si>
  <si>
    <t>MIIX 300-10IBY</t>
  </si>
  <si>
    <t>Модель</t>
  </si>
  <si>
    <t>Не включается</t>
  </si>
  <si>
    <t xml:space="preserve"> Модель</t>
  </si>
  <si>
    <t>Марка</t>
  </si>
  <si>
    <t xml:space="preserve"> </t>
  </si>
  <si>
    <t xml:space="preserve">Марка </t>
  </si>
  <si>
    <t>Samsung</t>
  </si>
  <si>
    <t>GT-P5100</t>
  </si>
  <si>
    <t>ОК.</t>
  </si>
  <si>
    <t>DVD</t>
  </si>
  <si>
    <t>❌ Нет</t>
  </si>
  <si>
    <t>Рабочий, нужен блок</t>
  </si>
  <si>
    <t xml:space="preserve">Samsung </t>
  </si>
  <si>
    <t>T230NU</t>
  </si>
  <si>
    <t>TAB2 A7-30</t>
  </si>
  <si>
    <t>Белый</t>
  </si>
  <si>
    <t xml:space="preserve">Apple </t>
  </si>
  <si>
    <t>Ipad A1430</t>
  </si>
  <si>
    <t>Klawiatura</t>
  </si>
  <si>
    <t>Sharkk bl21</t>
  </si>
  <si>
    <t xml:space="preserve">Asus </t>
  </si>
  <si>
    <t>Eee PC 1215B</t>
  </si>
  <si>
    <t>На проверку</t>
  </si>
  <si>
    <t>Eee PC T101MT</t>
  </si>
  <si>
    <t>Blow</t>
  </si>
  <si>
    <t>Logicom</t>
  </si>
  <si>
    <t>M Bot Tab 101</t>
  </si>
  <si>
    <t>Работает но слабо</t>
  </si>
  <si>
    <t>SilverTab-10.1</t>
  </si>
  <si>
    <t>Asus</t>
  </si>
  <si>
    <t>TF300T 10.1</t>
  </si>
  <si>
    <t>Windows</t>
  </si>
  <si>
    <t>Medion</t>
  </si>
  <si>
    <t>LifeTab S10334</t>
  </si>
  <si>
    <t>Huawei</t>
  </si>
  <si>
    <t>MediaPad M5 lite</t>
  </si>
  <si>
    <t>Navitel</t>
  </si>
  <si>
    <t>T500 3G</t>
  </si>
  <si>
    <t>Ipad mini A1600</t>
  </si>
  <si>
    <t>Старая прошивка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</si>
</sst>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&quot; Zł&quot;"/>
  </numFmts>
  <fonts count="14" x14ac:knownFonts="1">
    <font>
      <sz val="11"/>
      <color theme="1"/>
      <name val="Calibri"/>
      <family val="2"/>
      <charset val="1"/>
    </font>
    <font>
      <b/>
      <sz val="14"/>
      <color rgb="FFE94560"/>
      <name val="Calibri"/>
      <charset val="1"/>
    </font>
    <font>
      <i/>
      <sz val="9"/>
      <color rgb="FFAAAACC"/>
      <name val="Calibri"/>
      <charset val="1"/>
    </font>
    <font>
      <b/>
      <sz val="10"/>
      <color rgb="FFFFFFFF"/>
      <name val="Calibri"/>
      <charset val="1"/>
    </font>
    <font>
      <b/>
      <sz val="10"/>
      <color rgb="FF000000"/>
      <name val="Calibri"/>
      <charset val="1"/>
    </font>
    <font>
      <sz val="10"/>
      <color rgb="FF000000"/>
      <name val="Calibri"/>
      <charset val="1"/>
    </font>
    <font>
      <sz val="10"/>
      <color rgb="FF1E7B40"/>
      <name val="Calibri"/>
      <charset val="1"/>
    </font>
    <font>
      <b/>
      <sz val="10"/>
      <color rgb="FF1A1A2E"/>
      <name val="Calibri"/>
      <charset val="1"/>
    </font>
    <font>
      <sz val="10"/>
      <color rgb="FF9B1C1C"/>
      <name val="Calibri"/>
      <charset val="1"/>
    </font>
    <font>
      <sz val="10"/>
      <color rgb="FF856404"/>
      <name val="Calibri"/>
      <charset val="1"/>
    </font>
    <font>
      <b/>
      <sz val="10"/>
      <color rgb="FF1346A0"/>
      <name val="Calibri"/>
      <charset val="1"/>
    </font>
    <font>
      <b/>
      <sz val="11"/>
      <color rgb="FFFFFFFF"/>
      <name val="Calibri"/>
      <charset val="1"/>
    </font>
    <font>
      <b/>
      <sz val="11"/>
      <color rgb="FF000000"/>
      <name val="Calibri"/>
      <charset val="1"/>
    </font>
    <font>
      <sz val="10"/>
      <color rgb="FF1346A0"/>
      <name val="Calibri"/>
      <charset val="1"/>
    </font>
  </fonts>
  <fills count="11">
    <fill>
      <patternFill patternType="none"/>
    </fill>
    <fill>
      <patternFill patternType="gray125"/>
    </fill>
    <fill>
      <patternFill patternType="solid">
        <fgColor rgb="FF1A1A2E"/>
        <bgColor rgb="FF2D2D44"/>
      </patternFill>
    </fill>
    <fill>
      <patternFill patternType="solid">
        <fgColor rgb="FF2D2D44"/>
        <bgColor rgb="FF1A1A2E"/>
      </patternFill>
    </fill>
    <fill>
      <patternFill patternType="solid">
        <fgColor rgb="FFF8F9FF"/>
        <bgColor rgb="FFFFFFFF"/>
      </patternFill>
    </fill>
    <fill>
      <patternFill patternType="solid">
        <fgColor rgb="FFD6F4E0"/>
        <bgColor rgb="FFD0E8FF"/>
      </patternFill>
    </fill>
    <fill>
      <patternFill patternType="solid">
        <fgColor rgb="FFFFFFFF"/>
        <bgColor rgb="FFF8F9FF"/>
      </patternFill>
    </fill>
    <fill>
      <patternFill patternType="solid">
        <fgColor rgb="FFFDDEDE"/>
        <bgColor rgb="FFFFF3CD"/>
      </patternFill>
    </fill>
    <fill>
      <patternFill patternType="solid">
        <fgColor rgb="FFFFF3CD"/>
        <bgColor rgb="FFFDDEDE"/>
      </patternFill>
    </fill>
    <fill>
      <patternFill patternType="solid">
        <fgColor rgb="FFD0E8FF"/>
        <bgColor rgb="FFD6F4E0"/>
      </patternFill>
    </fill>
    <fill>
      <patternFill patternType="solid">
        <fgColor rgb="FFE94560"/>
        <bgColor rgb="FF993366"/>
      </patternFill>
    </fill>
  </fills>
  <borders count="6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medium">
        <color rgb="FF1A1A2E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center" vertical="center"/>
    </xf>
    <xf numFmtId="164" fontId="7" fillId="4" borderId="2" xfId="0" applyNumberFormat="1" applyFont="1" applyFill="1" applyBorder="1" applyAlignment="1">
      <alignment horizontal="right" vertical="center"/>
    </xf>
    <xf numFmtId="0" fontId="4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/>
    </xf>
    <xf numFmtId="0" fontId="8" fillId="7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164" fontId="7" fillId="6" borderId="2" xfId="0" applyNumberFormat="1" applyFont="1" applyFill="1" applyBorder="1" applyAlignment="1">
      <alignment horizontal="right" vertical="center"/>
    </xf>
    <xf numFmtId="0" fontId="10" fillId="9" borderId="2" xfId="0" applyFont="1" applyFill="1" applyBorder="1" applyAlignment="1">
      <alignment horizontal="center" vertical="center"/>
    </xf>
    <xf numFmtId="164" fontId="11" fillId="10" borderId="2" xfId="0" applyNumberFormat="1" applyFont="1" applyFill="1" applyBorder="1" applyAlignment="1">
      <alignment horizontal="right" vertical="center"/>
    </xf>
    <xf numFmtId="0" fontId="0" fillId="2" borderId="2" xfId="0" applyFill="1" applyBorder="1"/>
    <xf numFmtId="0" fontId="4" fillId="4" borderId="2" xfId="0" applyFont="1" applyFill="1" applyBorder="1" applyAlignment="1">
      <alignment horizontal="left" vertical="center"/>
    </xf>
    <xf numFmtId="0" fontId="12" fillId="4" borderId="2" xfId="0" applyFont="1" applyFill="1" applyBorder="1" applyAlignment="1">
      <alignment horizontal="center" vertical="center"/>
    </xf>
    <xf numFmtId="164" fontId="5" fillId="4" borderId="2" xfId="0" applyNumberFormat="1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0" fontId="12" fillId="6" borderId="2" xfId="0" applyFont="1" applyFill="1" applyBorder="1" applyAlignment="1">
      <alignment horizontal="center" vertical="center"/>
    </xf>
    <xf numFmtId="164" fontId="5" fillId="6" borderId="2" xfId="0" applyNumberFormat="1" applyFont="1" applyFill="1" applyBorder="1" applyAlignment="1">
      <alignment horizontal="right" vertical="center"/>
    </xf>
    <xf numFmtId="0" fontId="5" fillId="6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left" vertical="center"/>
    </xf>
    <xf numFmtId="0" fontId="11" fillId="2" borderId="2" xfId="0" applyFont="1" applyFill="1" applyBorder="1" applyAlignment="1">
      <alignment horizontal="center" vertical="center"/>
    </xf>
    <xf numFmtId="164" fontId="11" fillId="2" borderId="2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3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right" vertical="center"/>
    </xf>
    <xf numFmtId="0" fontId="3" fillId="2" borderId="5" xfId="0" applyFont="1" applyFill="1" applyBorder="1" applyAlignment="1">
      <alignment horizontal="right" vertical="center"/>
    </xf>
    <xf numFmtId="0" fontId="13" fillId="9" borderId="3" xfId="0" applyFont="1" applyFill="1" applyBorder="1" applyAlignment="1">
      <alignment horizontal="left" vertical="center"/>
    </xf>
    <xf numFmtId="0" fontId="6" fillId="5" borderId="3" xfId="0" applyFont="1" applyFill="1" applyBorder="1" applyAlignment="1">
      <alignment horizontal="left" vertical="center"/>
    </xf>
    <xf numFmtId="0" fontId="9" fillId="8" borderId="3" xfId="0" applyFont="1" applyFill="1" applyBorder="1" applyAlignment="1">
      <alignment horizontal="left" vertical="center"/>
    </xf>
    <xf numFmtId="0" fontId="8" fillId="7" borderId="3" xfId="0" applyFont="1" applyFill="1" applyBorder="1" applyAlignment="1">
      <alignment horizontal="left" vertical="center"/>
    </xf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B40"/>
      <rgbColor rgb="FF000080"/>
      <rgbColor rgb="FF856404"/>
      <rgbColor rgb="FF800080"/>
      <rgbColor rgb="FF008080"/>
      <rgbColor rgb="FFAAAACC"/>
      <rgbColor rgb="FF808080"/>
      <rgbColor rgb="FF9999FF"/>
      <rgbColor rgb="FF993366"/>
      <rgbColor rgb="FFFFF3CD"/>
      <rgbColor rgb="FFD0E8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9FF"/>
      <rgbColor rgb="FFD6F4E0"/>
      <rgbColor rgb="FFFFFF99"/>
      <rgbColor rgb="FF99CCFF"/>
      <rgbColor rgb="FFFF99CC"/>
      <rgbColor rgb="FFCC99FF"/>
      <rgbColor rgb="FFFDDEDE"/>
      <rgbColor rgb="FF3366FF"/>
      <rgbColor rgb="FF33CCCC"/>
      <rgbColor rgb="FF99CC00"/>
      <rgbColor rgb="FFFFCC00"/>
      <rgbColor rgb="FFF39C12"/>
      <rgbColor rgb="FFE94560"/>
      <rgbColor rgb="FF666699"/>
      <rgbColor rgb="FF969696"/>
      <rgbColor rgb="FF003366"/>
      <rgbColor rgb="FF16A085"/>
      <rgbColor rgb="FF003300"/>
      <rgbColor rgb="FF1A1A2E"/>
      <rgbColor rgb="FF9B1C1C"/>
      <rgbColor rgb="FF993366"/>
      <rgbColor rgb="FF1346A0"/>
      <rgbColor rgb="FF2D2D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1A2E"/>
  </sheetPr>
  <dimension ref="A1:J87"/>
  <sheetViews>
    <sheetView showGridLines="0" zoomScale="175" zoomScaleNormal="175" workbookViewId="0">
      <pane ySplit="3" topLeftCell="A4" activePane="bottomLeft" state="frozen"/>
      <selection pane="bottomLeft" activeCell="J11" sqref="J11"/>
    </sheetView>
  </sheetViews>
  <sheetFormatPr defaultColWidth="8.7109375" defaultRowHeight="15" x14ac:dyDescent="0.25"/>
  <cols>
    <col min="1" max="1" width="5" customWidth="1"/>
    <col min="2" max="2" width="31.85546875" customWidth="1"/>
    <col min="3" max="3" width="33" customWidth="1"/>
    <col min="4" max="8" width="30.7109375" customWidth="1"/>
    <col min="9" max="9" width="18" customWidth="1"/>
    <col min="10" max="10" width="32.5703125" customWidth="1"/>
  </cols>
  <sheetData>
    <row r="1" spans="1:10" ht="36" customHeight="1" x14ac:dyDescent="0.25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18" customHeight="1" x14ac:dyDescent="0.25">
      <c r="A2" s="27" t="str">
        <f ca="1">TEXT(TODAY(),"DD.MM.YYYY")</f>
        <v>12.05.YYYY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31.5" customHeight="1" thickBot="1" x14ac:dyDescent="0.3">
      <c r="A3" s="1" t="s">
        <v>1</v>
      </c>
      <c r="B3" s="1" t="s">
        <v>2</v>
      </c>
      <c r="C3" s="1" t="s">
        <v>51</v>
      </c>
      <c r="D3" s="1" t="s">
        <v>3</v>
      </c>
      <c r="E3" s="1" t="s">
        <v>4</v>
      </c>
      <c r="F3" s="1" t="s">
        <v>5</v>
      </c>
      <c r="G3" s="1" t="s">
        <v>7</v>
      </c>
      <c r="H3" s="1" t="s">
        <v>8</v>
      </c>
      <c r="I3" s="1" t="s">
        <v>9</v>
      </c>
      <c r="J3" s="1" t="s">
        <v>10</v>
      </c>
    </row>
    <row r="4" spans="1:10" ht="21.75" customHeight="1" x14ac:dyDescent="0.25">
      <c r="A4" s="2">
        <v>1</v>
      </c>
      <c r="B4" s="3" t="s">
        <v>45</v>
      </c>
      <c r="C4" s="3" t="s">
        <v>46</v>
      </c>
      <c r="D4" s="4" t="s">
        <v>11</v>
      </c>
      <c r="E4" s="4" t="s">
        <v>11</v>
      </c>
      <c r="F4" s="4" t="s">
        <v>11</v>
      </c>
      <c r="G4" s="4" t="s">
        <v>11</v>
      </c>
      <c r="H4" s="4" t="s">
        <v>11</v>
      </c>
      <c r="I4" s="5">
        <v>1200</v>
      </c>
      <c r="J4" s="17" t="s">
        <v>12</v>
      </c>
    </row>
    <row r="5" spans="1:10" ht="21.75" customHeight="1" x14ac:dyDescent="0.25">
      <c r="A5" s="6">
        <v>2</v>
      </c>
      <c r="B5" s="7" t="s">
        <v>47</v>
      </c>
      <c r="C5" s="7" t="s">
        <v>48</v>
      </c>
      <c r="D5" s="4" t="s">
        <v>11</v>
      </c>
      <c r="E5" s="4" t="s">
        <v>11</v>
      </c>
      <c r="F5" s="8" t="s">
        <v>13</v>
      </c>
      <c r="G5" s="4" t="s">
        <v>11</v>
      </c>
      <c r="H5" s="9" t="s">
        <v>14</v>
      </c>
      <c r="I5" s="10">
        <v>250</v>
      </c>
      <c r="J5" s="21" t="s">
        <v>15</v>
      </c>
    </row>
    <row r="6" spans="1:10" ht="21.75" customHeight="1" x14ac:dyDescent="0.25">
      <c r="A6" s="2">
        <v>3</v>
      </c>
      <c r="B6" s="3" t="s">
        <v>44</v>
      </c>
      <c r="C6" s="3" t="s">
        <v>49</v>
      </c>
      <c r="D6" s="9" t="s">
        <v>14</v>
      </c>
      <c r="E6" s="9" t="s">
        <v>16</v>
      </c>
      <c r="F6" s="4" t="s">
        <v>11</v>
      </c>
      <c r="G6" s="4" t="s">
        <v>11</v>
      </c>
      <c r="H6" s="11" t="s">
        <v>17</v>
      </c>
      <c r="I6" s="5">
        <v>750</v>
      </c>
      <c r="J6" s="17" t="s">
        <v>18</v>
      </c>
    </row>
    <row r="7" spans="1:10" ht="21.75" customHeight="1" x14ac:dyDescent="0.25">
      <c r="A7" s="6">
        <v>4</v>
      </c>
      <c r="B7" s="7" t="s">
        <v>19</v>
      </c>
      <c r="C7" s="7" t="s">
        <v>43</v>
      </c>
      <c r="D7" s="4" t="s">
        <v>11</v>
      </c>
      <c r="E7" s="4" t="s">
        <v>11</v>
      </c>
      <c r="F7" s="4" t="s">
        <v>11</v>
      </c>
      <c r="G7" s="4" t="s">
        <v>11</v>
      </c>
      <c r="H7" s="11" t="s">
        <v>17</v>
      </c>
      <c r="I7" s="10">
        <v>50</v>
      </c>
      <c r="J7" s="21"/>
    </row>
    <row r="8" spans="1:10" ht="21.75" customHeight="1" x14ac:dyDescent="0.25">
      <c r="A8" s="2">
        <v>5</v>
      </c>
      <c r="B8" s="3" t="s">
        <v>44</v>
      </c>
      <c r="C8" s="3" t="s">
        <v>50</v>
      </c>
      <c r="D8" s="4" t="s">
        <v>11</v>
      </c>
      <c r="E8" s="4" t="s">
        <v>11</v>
      </c>
      <c r="F8" s="9" t="s">
        <v>14</v>
      </c>
      <c r="G8" s="8" t="s">
        <v>13</v>
      </c>
      <c r="H8" s="11" t="s">
        <v>17</v>
      </c>
      <c r="I8" s="5">
        <v>150</v>
      </c>
      <c r="J8" s="17" t="s">
        <v>52</v>
      </c>
    </row>
    <row r="9" spans="1:10" ht="21.75" customHeight="1" x14ac:dyDescent="0.25">
      <c r="A9" s="6">
        <v>6</v>
      </c>
      <c r="B9" s="7" t="s">
        <v>59</v>
      </c>
      <c r="C9" s="7" t="s">
        <v>60</v>
      </c>
      <c r="D9" s="4" t="s">
        <v>11</v>
      </c>
      <c r="E9" s="4" t="s">
        <v>11</v>
      </c>
      <c r="F9" s="4" t="s">
        <v>61</v>
      </c>
      <c r="G9" s="4" t="s">
        <v>11</v>
      </c>
      <c r="H9" s="4" t="s">
        <v>14</v>
      </c>
      <c r="I9" s="10">
        <v>20</v>
      </c>
      <c r="J9" s="21" t="s">
        <v>62</v>
      </c>
    </row>
    <row r="10" spans="1:10" ht="21.75" customHeight="1" x14ac:dyDescent="0.25">
      <c r="A10" s="2">
        <v>7</v>
      </c>
      <c r="B10" s="3" t="s">
        <v>71</v>
      </c>
      <c r="C10" s="3" t="s">
        <v>72</v>
      </c>
      <c r="D10" s="8" t="s">
        <v>14</v>
      </c>
      <c r="E10" s="9" t="s">
        <v>11</v>
      </c>
      <c r="F10" s="8" t="s">
        <v>14</v>
      </c>
      <c r="G10" s="4" t="s">
        <v>11</v>
      </c>
      <c r="H10" s="4" t="s">
        <v>14</v>
      </c>
      <c r="I10" s="5">
        <v>100</v>
      </c>
      <c r="J10" s="17" t="s">
        <v>73</v>
      </c>
    </row>
    <row r="11" spans="1:10" ht="21.75" customHeight="1" x14ac:dyDescent="0.25">
      <c r="A11" s="6">
        <v>8</v>
      </c>
      <c r="B11" s="7" t="s">
        <v>71</v>
      </c>
      <c r="C11" s="7" t="s">
        <v>74</v>
      </c>
      <c r="D11" s="4" t="s">
        <v>14</v>
      </c>
      <c r="E11" s="4" t="s">
        <v>11</v>
      </c>
      <c r="F11" s="4" t="s">
        <v>14</v>
      </c>
      <c r="G11" s="4" t="s">
        <v>11</v>
      </c>
      <c r="H11" s="4" t="s">
        <v>14</v>
      </c>
      <c r="I11" s="10">
        <v>100</v>
      </c>
      <c r="J11" s="17" t="s">
        <v>73</v>
      </c>
    </row>
    <row r="12" spans="1:10" ht="21.75" customHeight="1" x14ac:dyDescent="0.25">
      <c r="A12" s="2">
        <v>9</v>
      </c>
      <c r="B12" s="7"/>
      <c r="C12" s="7"/>
      <c r="D12" s="4" t="s">
        <v>11</v>
      </c>
      <c r="E12" s="4" t="s">
        <v>11</v>
      </c>
      <c r="F12" s="4" t="s">
        <v>11</v>
      </c>
      <c r="G12" s="4" t="s">
        <v>11</v>
      </c>
      <c r="H12" s="4" t="s">
        <v>11</v>
      </c>
      <c r="I12" s="10">
        <v>0</v>
      </c>
      <c r="J12" s="21"/>
    </row>
    <row r="13" spans="1:10" ht="21.75" customHeight="1" x14ac:dyDescent="0.25">
      <c r="A13" s="6">
        <v>10</v>
      </c>
      <c r="B13" s="3"/>
      <c r="C13" s="3"/>
      <c r="D13" s="8" t="s">
        <v>13</v>
      </c>
      <c r="E13" s="9" t="s">
        <v>14</v>
      </c>
      <c r="F13" s="8" t="s">
        <v>13</v>
      </c>
      <c r="G13" s="4" t="s">
        <v>11</v>
      </c>
      <c r="H13" s="4" t="s">
        <v>11</v>
      </c>
      <c r="I13" s="5">
        <v>0</v>
      </c>
      <c r="J13" s="17"/>
    </row>
    <row r="14" spans="1:10" ht="21.75" customHeight="1" x14ac:dyDescent="0.25">
      <c r="A14" s="2">
        <v>11</v>
      </c>
      <c r="B14" s="7"/>
      <c r="C14" s="7"/>
      <c r="D14" s="4" t="s">
        <v>11</v>
      </c>
      <c r="E14" s="4" t="s">
        <v>11</v>
      </c>
      <c r="F14" s="4" t="s">
        <v>11</v>
      </c>
      <c r="G14" s="4" t="s">
        <v>11</v>
      </c>
      <c r="H14" s="4" t="s">
        <v>11</v>
      </c>
      <c r="I14" s="10">
        <v>0</v>
      </c>
      <c r="J14" s="21"/>
    </row>
    <row r="15" spans="1:10" ht="21.75" customHeight="1" x14ac:dyDescent="0.25">
      <c r="A15" s="6">
        <v>12</v>
      </c>
      <c r="B15" s="3"/>
      <c r="C15" s="3"/>
      <c r="D15" s="8" t="s">
        <v>13</v>
      </c>
      <c r="E15" s="9" t="s">
        <v>14</v>
      </c>
      <c r="F15" s="8" t="s">
        <v>13</v>
      </c>
      <c r="G15" s="4" t="s">
        <v>11</v>
      </c>
      <c r="H15" s="4" t="s">
        <v>11</v>
      </c>
      <c r="I15" s="5">
        <v>0</v>
      </c>
      <c r="J15" s="17"/>
    </row>
    <row r="16" spans="1:10" ht="21.75" customHeight="1" x14ac:dyDescent="0.25">
      <c r="A16" s="2">
        <v>13</v>
      </c>
      <c r="B16" s="7"/>
      <c r="C16" s="7"/>
      <c r="D16" s="4" t="s">
        <v>11</v>
      </c>
      <c r="E16" s="4" t="s">
        <v>11</v>
      </c>
      <c r="F16" s="4" t="s">
        <v>11</v>
      </c>
      <c r="G16" s="4" t="s">
        <v>11</v>
      </c>
      <c r="H16" s="4" t="s">
        <v>11</v>
      </c>
      <c r="I16" s="10">
        <v>0</v>
      </c>
      <c r="J16" s="21"/>
    </row>
    <row r="17" spans="1:10" ht="21.75" customHeight="1" x14ac:dyDescent="0.25">
      <c r="A17" s="6">
        <v>14</v>
      </c>
      <c r="B17" s="7"/>
      <c r="C17" s="7"/>
      <c r="D17" s="4" t="s">
        <v>11</v>
      </c>
      <c r="E17" s="4" t="s">
        <v>11</v>
      </c>
      <c r="F17" s="4" t="s">
        <v>11</v>
      </c>
      <c r="G17" s="4" t="s">
        <v>11</v>
      </c>
      <c r="H17" s="4" t="s">
        <v>11</v>
      </c>
      <c r="I17" s="10">
        <v>0</v>
      </c>
      <c r="J17" s="21"/>
    </row>
    <row r="18" spans="1:10" ht="21.75" customHeight="1" x14ac:dyDescent="0.25">
      <c r="A18" s="2">
        <v>15</v>
      </c>
      <c r="B18" s="3"/>
      <c r="C18" s="3"/>
      <c r="D18" s="8" t="s">
        <v>13</v>
      </c>
      <c r="E18" s="9" t="s">
        <v>14</v>
      </c>
      <c r="F18" s="8" t="s">
        <v>13</v>
      </c>
      <c r="G18" s="4" t="s">
        <v>11</v>
      </c>
      <c r="H18" s="4" t="s">
        <v>11</v>
      </c>
      <c r="I18" s="5">
        <v>0</v>
      </c>
      <c r="J18" s="17"/>
    </row>
    <row r="19" spans="1:10" ht="21.75" customHeight="1" x14ac:dyDescent="0.25">
      <c r="A19" s="6">
        <v>16</v>
      </c>
      <c r="B19" s="7"/>
      <c r="C19" s="7"/>
      <c r="D19" s="4" t="s">
        <v>11</v>
      </c>
      <c r="E19" s="4" t="s">
        <v>11</v>
      </c>
      <c r="F19" s="4" t="s">
        <v>11</v>
      </c>
      <c r="G19" s="4" t="s">
        <v>11</v>
      </c>
      <c r="H19" s="4" t="s">
        <v>11</v>
      </c>
      <c r="I19" s="10">
        <v>0</v>
      </c>
      <c r="J19" s="21"/>
    </row>
    <row r="20" spans="1:10" ht="21.75" customHeight="1" x14ac:dyDescent="0.25">
      <c r="A20" s="2">
        <v>17</v>
      </c>
      <c r="B20" s="3"/>
      <c r="C20" s="3"/>
      <c r="D20" s="8" t="s">
        <v>13</v>
      </c>
      <c r="E20" s="9" t="s">
        <v>14</v>
      </c>
      <c r="F20" s="8" t="s">
        <v>13</v>
      </c>
      <c r="G20" s="4" t="s">
        <v>11</v>
      </c>
      <c r="H20" s="4" t="s">
        <v>11</v>
      </c>
      <c r="I20" s="5">
        <v>0</v>
      </c>
      <c r="J20" s="17"/>
    </row>
    <row r="21" spans="1:10" ht="21.75" customHeight="1" x14ac:dyDescent="0.25">
      <c r="A21" s="6">
        <v>18</v>
      </c>
      <c r="B21" s="7"/>
      <c r="C21" s="7"/>
      <c r="D21" s="4" t="s">
        <v>11</v>
      </c>
      <c r="E21" s="4" t="s">
        <v>11</v>
      </c>
      <c r="F21" s="4" t="s">
        <v>11</v>
      </c>
      <c r="G21" s="4" t="s">
        <v>11</v>
      </c>
      <c r="H21" s="4" t="s">
        <v>11</v>
      </c>
      <c r="I21" s="10">
        <v>0</v>
      </c>
      <c r="J21" s="21"/>
    </row>
    <row r="22" spans="1:10" ht="21.75" customHeight="1" x14ac:dyDescent="0.25">
      <c r="A22" s="2">
        <v>19</v>
      </c>
      <c r="B22" s="7"/>
      <c r="C22" s="7"/>
      <c r="D22" s="4" t="s">
        <v>11</v>
      </c>
      <c r="E22" s="4" t="s">
        <v>11</v>
      </c>
      <c r="F22" s="4" t="s">
        <v>11</v>
      </c>
      <c r="G22" s="4" t="s">
        <v>11</v>
      </c>
      <c r="H22" s="4" t="s">
        <v>11</v>
      </c>
      <c r="I22" s="10">
        <v>0</v>
      </c>
      <c r="J22" s="21"/>
    </row>
    <row r="23" spans="1:10" ht="21.75" customHeight="1" x14ac:dyDescent="0.25">
      <c r="A23" s="6">
        <v>20</v>
      </c>
      <c r="B23" s="3"/>
      <c r="C23" s="3"/>
      <c r="D23" s="8" t="s">
        <v>13</v>
      </c>
      <c r="E23" s="9" t="s">
        <v>14</v>
      </c>
      <c r="F23" s="8" t="s">
        <v>13</v>
      </c>
      <c r="G23" s="4" t="s">
        <v>11</v>
      </c>
      <c r="H23" s="4" t="s">
        <v>11</v>
      </c>
      <c r="I23" s="5">
        <v>0</v>
      </c>
      <c r="J23" s="17"/>
    </row>
    <row r="24" spans="1:10" ht="21.75" customHeight="1" x14ac:dyDescent="0.25">
      <c r="A24" s="2">
        <v>21</v>
      </c>
      <c r="B24" s="7"/>
      <c r="C24" s="7"/>
      <c r="D24" s="4" t="s">
        <v>11</v>
      </c>
      <c r="E24" s="4" t="s">
        <v>11</v>
      </c>
      <c r="F24" s="4" t="s">
        <v>11</v>
      </c>
      <c r="G24" s="4" t="s">
        <v>11</v>
      </c>
      <c r="H24" s="4" t="s">
        <v>11</v>
      </c>
      <c r="I24" s="10">
        <v>0</v>
      </c>
      <c r="J24" s="21"/>
    </row>
    <row r="25" spans="1:10" ht="21.75" customHeight="1" x14ac:dyDescent="0.25">
      <c r="A25" s="6">
        <v>22</v>
      </c>
      <c r="B25" s="3"/>
      <c r="C25" s="3"/>
      <c r="D25" s="8" t="s">
        <v>13</v>
      </c>
      <c r="E25" s="9" t="s">
        <v>14</v>
      </c>
      <c r="F25" s="8" t="s">
        <v>13</v>
      </c>
      <c r="G25" s="4" t="s">
        <v>11</v>
      </c>
      <c r="H25" s="4" t="s">
        <v>11</v>
      </c>
      <c r="I25" s="5">
        <v>0</v>
      </c>
      <c r="J25" s="17"/>
    </row>
    <row r="26" spans="1:10" ht="21.75" customHeight="1" x14ac:dyDescent="0.25">
      <c r="A26" s="2">
        <v>23</v>
      </c>
      <c r="B26" s="7"/>
      <c r="C26" s="7"/>
      <c r="D26" s="4" t="s">
        <v>11</v>
      </c>
      <c r="E26" s="4" t="s">
        <v>11</v>
      </c>
      <c r="F26" s="4" t="s">
        <v>11</v>
      </c>
      <c r="G26" s="4" t="s">
        <v>11</v>
      </c>
      <c r="H26" s="4" t="s">
        <v>11</v>
      </c>
      <c r="I26" s="10">
        <v>0</v>
      </c>
      <c r="J26" s="21"/>
    </row>
    <row r="27" spans="1:10" ht="21.75" customHeight="1" x14ac:dyDescent="0.25">
      <c r="A27" s="6">
        <v>24</v>
      </c>
      <c r="B27" s="7"/>
      <c r="C27" s="7"/>
      <c r="D27" s="4" t="s">
        <v>11</v>
      </c>
      <c r="E27" s="4" t="s">
        <v>11</v>
      </c>
      <c r="F27" s="4" t="s">
        <v>11</v>
      </c>
      <c r="G27" s="4" t="s">
        <v>11</v>
      </c>
      <c r="H27" s="4" t="s">
        <v>11</v>
      </c>
      <c r="I27" s="10">
        <v>0</v>
      </c>
      <c r="J27" s="21"/>
    </row>
    <row r="28" spans="1:10" ht="21.75" customHeight="1" x14ac:dyDescent="0.25">
      <c r="A28" s="2">
        <v>25</v>
      </c>
      <c r="B28" s="3"/>
      <c r="C28" s="3"/>
      <c r="D28" s="8" t="s">
        <v>13</v>
      </c>
      <c r="E28" s="9" t="s">
        <v>14</v>
      </c>
      <c r="F28" s="8" t="s">
        <v>13</v>
      </c>
      <c r="G28" s="4" t="s">
        <v>11</v>
      </c>
      <c r="H28" s="4" t="s">
        <v>11</v>
      </c>
      <c r="I28" s="5">
        <v>0</v>
      </c>
      <c r="J28" s="17"/>
    </row>
    <row r="29" spans="1:10" ht="21.75" customHeight="1" x14ac:dyDescent="0.25">
      <c r="A29" s="6">
        <v>26</v>
      </c>
      <c r="B29" s="7"/>
      <c r="C29" s="7"/>
      <c r="D29" s="4" t="s">
        <v>11</v>
      </c>
      <c r="E29" s="4" t="s">
        <v>11</v>
      </c>
      <c r="F29" s="4" t="s">
        <v>11</v>
      </c>
      <c r="G29" s="4" t="s">
        <v>11</v>
      </c>
      <c r="H29" s="4" t="s">
        <v>11</v>
      </c>
      <c r="I29" s="10">
        <v>0</v>
      </c>
      <c r="J29" s="21"/>
    </row>
    <row r="30" spans="1:10" ht="21.75" customHeight="1" x14ac:dyDescent="0.25">
      <c r="A30" s="2">
        <v>27</v>
      </c>
      <c r="B30" s="3"/>
      <c r="C30" s="3"/>
      <c r="D30" s="8" t="s">
        <v>13</v>
      </c>
      <c r="E30" s="9" t="s">
        <v>14</v>
      </c>
      <c r="F30" s="8" t="s">
        <v>13</v>
      </c>
      <c r="G30" s="4" t="s">
        <v>11</v>
      </c>
      <c r="H30" s="4" t="s">
        <v>11</v>
      </c>
      <c r="I30" s="5">
        <v>0</v>
      </c>
      <c r="J30" s="17"/>
    </row>
    <row r="31" spans="1:10" ht="21.75" customHeight="1" x14ac:dyDescent="0.25">
      <c r="A31" s="6">
        <v>28</v>
      </c>
      <c r="B31" s="7"/>
      <c r="C31" s="7"/>
      <c r="D31" s="4" t="s">
        <v>11</v>
      </c>
      <c r="E31" s="4" t="s">
        <v>11</v>
      </c>
      <c r="F31" s="4" t="s">
        <v>11</v>
      </c>
      <c r="G31" s="4" t="s">
        <v>11</v>
      </c>
      <c r="H31" s="4" t="s">
        <v>11</v>
      </c>
      <c r="I31" s="10">
        <v>0</v>
      </c>
      <c r="J31" s="21"/>
    </row>
    <row r="32" spans="1:10" ht="21.75" customHeight="1" x14ac:dyDescent="0.25">
      <c r="A32" s="2">
        <v>29</v>
      </c>
      <c r="B32" s="7"/>
      <c r="C32" s="7"/>
      <c r="D32" s="4" t="s">
        <v>11</v>
      </c>
      <c r="E32" s="4" t="s">
        <v>11</v>
      </c>
      <c r="F32" s="4" t="s">
        <v>11</v>
      </c>
      <c r="G32" s="4" t="s">
        <v>11</v>
      </c>
      <c r="H32" s="4" t="s">
        <v>11</v>
      </c>
      <c r="I32" s="10">
        <v>0</v>
      </c>
      <c r="J32" s="21"/>
    </row>
    <row r="33" spans="1:10" ht="21.75" customHeight="1" x14ac:dyDescent="0.25">
      <c r="A33" s="6">
        <v>30</v>
      </c>
      <c r="B33" s="3"/>
      <c r="C33" s="3"/>
      <c r="D33" s="8" t="s">
        <v>13</v>
      </c>
      <c r="E33" s="9" t="s">
        <v>14</v>
      </c>
      <c r="F33" s="8" t="s">
        <v>13</v>
      </c>
      <c r="G33" s="4" t="s">
        <v>11</v>
      </c>
      <c r="H33" s="4" t="s">
        <v>11</v>
      </c>
      <c r="I33" s="5">
        <v>0</v>
      </c>
      <c r="J33" s="17"/>
    </row>
    <row r="34" spans="1:10" ht="21.75" customHeight="1" x14ac:dyDescent="0.25">
      <c r="A34" s="2">
        <v>31</v>
      </c>
      <c r="B34" s="7"/>
      <c r="C34" s="7"/>
      <c r="D34" s="4" t="s">
        <v>11</v>
      </c>
      <c r="E34" s="4" t="s">
        <v>11</v>
      </c>
      <c r="F34" s="4" t="s">
        <v>11</v>
      </c>
      <c r="G34" s="4" t="s">
        <v>11</v>
      </c>
      <c r="H34" s="4" t="s">
        <v>11</v>
      </c>
      <c r="I34" s="10">
        <v>0</v>
      </c>
      <c r="J34" s="21"/>
    </row>
    <row r="35" spans="1:10" ht="21.75" customHeight="1" x14ac:dyDescent="0.25">
      <c r="A35" s="6">
        <v>32</v>
      </c>
      <c r="B35" s="3"/>
      <c r="C35" s="3"/>
      <c r="D35" s="8" t="s">
        <v>13</v>
      </c>
      <c r="E35" s="9" t="s">
        <v>14</v>
      </c>
      <c r="F35" s="8" t="s">
        <v>13</v>
      </c>
      <c r="G35" s="4" t="s">
        <v>11</v>
      </c>
      <c r="H35" s="4" t="s">
        <v>11</v>
      </c>
      <c r="I35" s="5">
        <v>0</v>
      </c>
      <c r="J35" s="17"/>
    </row>
    <row r="36" spans="1:10" ht="21.75" customHeight="1" x14ac:dyDescent="0.25">
      <c r="A36" s="2">
        <v>33</v>
      </c>
      <c r="B36" s="7"/>
      <c r="C36" s="7"/>
      <c r="D36" s="4" t="s">
        <v>11</v>
      </c>
      <c r="E36" s="4" t="s">
        <v>11</v>
      </c>
      <c r="F36" s="4" t="s">
        <v>11</v>
      </c>
      <c r="G36" s="4" t="s">
        <v>11</v>
      </c>
      <c r="H36" s="4" t="s">
        <v>11</v>
      </c>
      <c r="I36" s="10">
        <v>0</v>
      </c>
      <c r="J36" s="21"/>
    </row>
    <row r="37" spans="1:10" ht="21.75" customHeight="1" x14ac:dyDescent="0.25">
      <c r="A37" s="6">
        <v>34</v>
      </c>
      <c r="B37" s="7"/>
      <c r="C37" s="7"/>
      <c r="D37" s="4" t="s">
        <v>11</v>
      </c>
      <c r="E37" s="4" t="s">
        <v>11</v>
      </c>
      <c r="F37" s="4" t="s">
        <v>11</v>
      </c>
      <c r="G37" s="4" t="s">
        <v>11</v>
      </c>
      <c r="H37" s="4" t="s">
        <v>11</v>
      </c>
      <c r="I37" s="10">
        <v>0</v>
      </c>
      <c r="J37" s="21"/>
    </row>
    <row r="38" spans="1:10" ht="21.75" customHeight="1" x14ac:dyDescent="0.25">
      <c r="A38" s="2">
        <v>35</v>
      </c>
      <c r="B38" s="3"/>
      <c r="C38" s="3"/>
      <c r="D38" s="8" t="s">
        <v>13</v>
      </c>
      <c r="E38" s="9" t="s">
        <v>14</v>
      </c>
      <c r="F38" s="8" t="s">
        <v>13</v>
      </c>
      <c r="G38" s="4" t="s">
        <v>11</v>
      </c>
      <c r="H38" s="4" t="s">
        <v>11</v>
      </c>
      <c r="I38" s="5">
        <v>0</v>
      </c>
      <c r="J38" s="17"/>
    </row>
    <row r="39" spans="1:10" ht="21.75" customHeight="1" x14ac:dyDescent="0.25">
      <c r="A39" s="6">
        <v>36</v>
      </c>
      <c r="B39" s="7"/>
      <c r="C39" s="7"/>
      <c r="D39" s="4" t="s">
        <v>11</v>
      </c>
      <c r="E39" s="4" t="s">
        <v>11</v>
      </c>
      <c r="F39" s="4" t="s">
        <v>11</v>
      </c>
      <c r="G39" s="4" t="s">
        <v>11</v>
      </c>
      <c r="H39" s="4" t="s">
        <v>11</v>
      </c>
      <c r="I39" s="10">
        <v>0</v>
      </c>
      <c r="J39" s="21"/>
    </row>
    <row r="40" spans="1:10" ht="21.75" customHeight="1" x14ac:dyDescent="0.25">
      <c r="A40" s="2">
        <v>37</v>
      </c>
      <c r="B40" s="3"/>
      <c r="C40" s="3"/>
      <c r="D40" s="8" t="s">
        <v>13</v>
      </c>
      <c r="E40" s="9" t="s">
        <v>14</v>
      </c>
      <c r="F40" s="8" t="s">
        <v>13</v>
      </c>
      <c r="G40" s="4" t="s">
        <v>11</v>
      </c>
      <c r="H40" s="4" t="s">
        <v>11</v>
      </c>
      <c r="I40" s="5">
        <v>0</v>
      </c>
      <c r="J40" s="17"/>
    </row>
    <row r="41" spans="1:10" ht="21.75" customHeight="1" x14ac:dyDescent="0.25">
      <c r="A41" s="6">
        <v>38</v>
      </c>
      <c r="B41" s="7"/>
      <c r="C41" s="7"/>
      <c r="D41" s="4" t="s">
        <v>11</v>
      </c>
      <c r="E41" s="4" t="s">
        <v>11</v>
      </c>
      <c r="F41" s="4" t="s">
        <v>11</v>
      </c>
      <c r="G41" s="4" t="s">
        <v>11</v>
      </c>
      <c r="H41" s="4" t="s">
        <v>11</v>
      </c>
      <c r="I41" s="10">
        <v>0</v>
      </c>
      <c r="J41" s="21"/>
    </row>
    <row r="42" spans="1:10" ht="21.75" customHeight="1" x14ac:dyDescent="0.25">
      <c r="A42" s="2">
        <v>39</v>
      </c>
      <c r="B42" s="7"/>
      <c r="C42" s="7"/>
      <c r="D42" s="4" t="s">
        <v>11</v>
      </c>
      <c r="E42" s="4" t="s">
        <v>11</v>
      </c>
      <c r="F42" s="4" t="s">
        <v>11</v>
      </c>
      <c r="G42" s="4" t="s">
        <v>11</v>
      </c>
      <c r="H42" s="4" t="s">
        <v>11</v>
      </c>
      <c r="I42" s="10">
        <v>0</v>
      </c>
      <c r="J42" s="21"/>
    </row>
    <row r="43" spans="1:10" ht="21.75" customHeight="1" x14ac:dyDescent="0.25">
      <c r="A43" s="6">
        <v>40</v>
      </c>
      <c r="B43" s="3"/>
      <c r="C43" s="3"/>
      <c r="D43" s="8" t="s">
        <v>13</v>
      </c>
      <c r="E43" s="9" t="s">
        <v>14</v>
      </c>
      <c r="F43" s="8" t="s">
        <v>13</v>
      </c>
      <c r="G43" s="4" t="s">
        <v>11</v>
      </c>
      <c r="H43" s="4" t="s">
        <v>11</v>
      </c>
      <c r="I43" s="5">
        <v>0</v>
      </c>
      <c r="J43" s="17"/>
    </row>
    <row r="44" spans="1:10" ht="21.75" customHeight="1" x14ac:dyDescent="0.25">
      <c r="A44" s="2">
        <v>41</v>
      </c>
      <c r="B44" s="7"/>
      <c r="C44" s="7"/>
      <c r="D44" s="4" t="s">
        <v>11</v>
      </c>
      <c r="E44" s="4" t="s">
        <v>11</v>
      </c>
      <c r="F44" s="4" t="s">
        <v>11</v>
      </c>
      <c r="G44" s="4" t="s">
        <v>11</v>
      </c>
      <c r="H44" s="4" t="s">
        <v>11</v>
      </c>
      <c r="I44" s="10">
        <v>0</v>
      </c>
      <c r="J44" s="21"/>
    </row>
    <row r="45" spans="1:10" ht="21.75" customHeight="1" x14ac:dyDescent="0.25">
      <c r="A45" s="6">
        <v>42</v>
      </c>
      <c r="B45" s="3"/>
      <c r="C45" s="3"/>
      <c r="D45" s="8" t="s">
        <v>13</v>
      </c>
      <c r="E45" s="9" t="s">
        <v>14</v>
      </c>
      <c r="F45" s="8" t="s">
        <v>13</v>
      </c>
      <c r="G45" s="4" t="s">
        <v>11</v>
      </c>
      <c r="H45" s="4" t="s">
        <v>11</v>
      </c>
      <c r="I45" s="5">
        <v>0</v>
      </c>
      <c r="J45" s="17"/>
    </row>
    <row r="46" spans="1:10" ht="21.75" customHeight="1" x14ac:dyDescent="0.25">
      <c r="A46" s="2">
        <v>43</v>
      </c>
      <c r="B46" s="7"/>
      <c r="C46" s="7"/>
      <c r="D46" s="4" t="s">
        <v>11</v>
      </c>
      <c r="E46" s="4" t="s">
        <v>11</v>
      </c>
      <c r="F46" s="4" t="s">
        <v>11</v>
      </c>
      <c r="G46" s="4" t="s">
        <v>11</v>
      </c>
      <c r="H46" s="4" t="s">
        <v>11</v>
      </c>
      <c r="I46" s="10">
        <v>0</v>
      </c>
      <c r="J46" s="21"/>
    </row>
    <row r="47" spans="1:10" ht="21.75" customHeight="1" x14ac:dyDescent="0.25">
      <c r="A47" s="6">
        <v>44</v>
      </c>
      <c r="B47" s="7"/>
      <c r="C47" s="7"/>
      <c r="D47" s="4" t="s">
        <v>11</v>
      </c>
      <c r="E47" s="4" t="s">
        <v>11</v>
      </c>
      <c r="F47" s="4" t="s">
        <v>11</v>
      </c>
      <c r="G47" s="4" t="s">
        <v>11</v>
      </c>
      <c r="H47" s="4" t="s">
        <v>11</v>
      </c>
      <c r="I47" s="10">
        <v>0</v>
      </c>
      <c r="J47" s="21"/>
    </row>
    <row r="48" spans="1:10" ht="21.75" customHeight="1" x14ac:dyDescent="0.25">
      <c r="A48" s="2">
        <v>45</v>
      </c>
      <c r="B48" s="3"/>
      <c r="C48" s="3"/>
      <c r="D48" s="8" t="s">
        <v>13</v>
      </c>
      <c r="E48" s="9" t="s">
        <v>14</v>
      </c>
      <c r="F48" s="8" t="s">
        <v>13</v>
      </c>
      <c r="G48" s="4" t="s">
        <v>11</v>
      </c>
      <c r="H48" s="4" t="s">
        <v>11</v>
      </c>
      <c r="I48" s="5">
        <v>0</v>
      </c>
      <c r="J48" s="17"/>
    </row>
    <row r="49" spans="1:10" ht="21.75" customHeight="1" x14ac:dyDescent="0.25">
      <c r="A49" s="6">
        <v>46</v>
      </c>
      <c r="B49" s="7"/>
      <c r="C49" s="7"/>
      <c r="D49" s="4" t="s">
        <v>11</v>
      </c>
      <c r="E49" s="4" t="s">
        <v>11</v>
      </c>
      <c r="F49" s="4" t="s">
        <v>11</v>
      </c>
      <c r="G49" s="4" t="s">
        <v>11</v>
      </c>
      <c r="H49" s="4" t="s">
        <v>11</v>
      </c>
      <c r="I49" s="10">
        <v>0</v>
      </c>
      <c r="J49" s="21"/>
    </row>
    <row r="50" spans="1:10" ht="21.75" customHeight="1" x14ac:dyDescent="0.25">
      <c r="A50" s="2">
        <v>47</v>
      </c>
      <c r="B50" s="3"/>
      <c r="C50" s="3"/>
      <c r="D50" s="8" t="s">
        <v>13</v>
      </c>
      <c r="E50" s="9" t="s">
        <v>14</v>
      </c>
      <c r="F50" s="8" t="s">
        <v>13</v>
      </c>
      <c r="G50" s="4" t="s">
        <v>11</v>
      </c>
      <c r="H50" s="4" t="s">
        <v>11</v>
      </c>
      <c r="I50" s="5">
        <v>0</v>
      </c>
      <c r="J50" s="17"/>
    </row>
    <row r="51" spans="1:10" ht="21.75" customHeight="1" x14ac:dyDescent="0.25">
      <c r="A51" s="6">
        <v>48</v>
      </c>
      <c r="B51" s="7"/>
      <c r="C51" s="7"/>
      <c r="D51" s="4" t="s">
        <v>11</v>
      </c>
      <c r="E51" s="4" t="s">
        <v>11</v>
      </c>
      <c r="F51" s="4" t="s">
        <v>11</v>
      </c>
      <c r="G51" s="4" t="s">
        <v>11</v>
      </c>
      <c r="H51" s="4" t="s">
        <v>11</v>
      </c>
      <c r="I51" s="10">
        <v>0</v>
      </c>
      <c r="J51" s="21"/>
    </row>
    <row r="52" spans="1:10" ht="21.75" customHeight="1" x14ac:dyDescent="0.25">
      <c r="A52" s="2">
        <v>49</v>
      </c>
      <c r="B52" s="7"/>
      <c r="C52" s="7"/>
      <c r="D52" s="4" t="s">
        <v>11</v>
      </c>
      <c r="E52" s="4" t="s">
        <v>11</v>
      </c>
      <c r="F52" s="4" t="s">
        <v>11</v>
      </c>
      <c r="G52" s="4" t="s">
        <v>11</v>
      </c>
      <c r="H52" s="4" t="s">
        <v>11</v>
      </c>
      <c r="I52" s="10">
        <v>0</v>
      </c>
      <c r="J52" s="21"/>
    </row>
    <row r="53" spans="1:10" ht="21.75" customHeight="1" x14ac:dyDescent="0.25">
      <c r="A53" s="6">
        <v>50</v>
      </c>
      <c r="B53" s="3"/>
      <c r="C53" s="3"/>
      <c r="D53" s="8" t="s">
        <v>13</v>
      </c>
      <c r="E53" s="9" t="s">
        <v>14</v>
      </c>
      <c r="F53" s="8" t="s">
        <v>13</v>
      </c>
      <c r="G53" s="4" t="s">
        <v>11</v>
      </c>
      <c r="H53" s="4" t="s">
        <v>11</v>
      </c>
      <c r="I53" s="5">
        <v>0</v>
      </c>
      <c r="J53" s="17"/>
    </row>
    <row r="54" spans="1:10" ht="21.75" customHeight="1" x14ac:dyDescent="0.25">
      <c r="A54" s="2">
        <v>51</v>
      </c>
      <c r="B54" s="7"/>
      <c r="C54" s="7"/>
      <c r="D54" s="4" t="s">
        <v>11</v>
      </c>
      <c r="E54" s="4" t="s">
        <v>11</v>
      </c>
      <c r="F54" s="4" t="s">
        <v>11</v>
      </c>
      <c r="G54" s="4" t="s">
        <v>11</v>
      </c>
      <c r="H54" s="4" t="s">
        <v>11</v>
      </c>
      <c r="I54" s="10">
        <v>0</v>
      </c>
      <c r="J54" s="21"/>
    </row>
    <row r="55" spans="1:10" ht="21.75" customHeight="1" x14ac:dyDescent="0.25">
      <c r="A55" s="6">
        <v>52</v>
      </c>
      <c r="B55" s="3"/>
      <c r="C55" s="3"/>
      <c r="D55" s="8" t="s">
        <v>13</v>
      </c>
      <c r="E55" s="9" t="s">
        <v>14</v>
      </c>
      <c r="F55" s="8" t="s">
        <v>13</v>
      </c>
      <c r="G55" s="4" t="s">
        <v>11</v>
      </c>
      <c r="H55" s="4" t="s">
        <v>11</v>
      </c>
      <c r="I55" s="5">
        <v>0</v>
      </c>
      <c r="J55" s="17"/>
    </row>
    <row r="56" spans="1:10" ht="21.75" customHeight="1" x14ac:dyDescent="0.25">
      <c r="A56" s="2">
        <v>53</v>
      </c>
      <c r="B56" s="7"/>
      <c r="C56" s="7"/>
      <c r="D56" s="4" t="s">
        <v>11</v>
      </c>
      <c r="E56" s="4" t="s">
        <v>11</v>
      </c>
      <c r="F56" s="4" t="s">
        <v>11</v>
      </c>
      <c r="G56" s="4" t="s">
        <v>11</v>
      </c>
      <c r="H56" s="4" t="s">
        <v>11</v>
      </c>
      <c r="I56" s="10">
        <v>0</v>
      </c>
      <c r="J56" s="21"/>
    </row>
    <row r="57" spans="1:10" ht="21.75" customHeight="1" x14ac:dyDescent="0.25">
      <c r="A57" s="6">
        <v>54</v>
      </c>
      <c r="B57" s="7"/>
      <c r="C57" s="7"/>
      <c r="D57" s="4" t="s">
        <v>11</v>
      </c>
      <c r="E57" s="4" t="s">
        <v>11</v>
      </c>
      <c r="F57" s="4" t="s">
        <v>11</v>
      </c>
      <c r="G57" s="4" t="s">
        <v>11</v>
      </c>
      <c r="H57" s="4" t="s">
        <v>11</v>
      </c>
      <c r="I57" s="10">
        <v>0</v>
      </c>
      <c r="J57" s="21"/>
    </row>
    <row r="58" spans="1:10" ht="21.75" customHeight="1" x14ac:dyDescent="0.25">
      <c r="A58" s="2">
        <v>55</v>
      </c>
      <c r="B58" s="3"/>
      <c r="C58" s="3"/>
      <c r="D58" s="8" t="s">
        <v>13</v>
      </c>
      <c r="E58" s="9" t="s">
        <v>14</v>
      </c>
      <c r="F58" s="8" t="s">
        <v>13</v>
      </c>
      <c r="G58" s="4" t="s">
        <v>11</v>
      </c>
      <c r="H58" s="4" t="s">
        <v>11</v>
      </c>
      <c r="I58" s="5">
        <v>0</v>
      </c>
      <c r="J58" s="17"/>
    </row>
    <row r="59" spans="1:10" ht="21.75" customHeight="1" x14ac:dyDescent="0.25">
      <c r="A59" s="6">
        <v>56</v>
      </c>
      <c r="B59" s="7"/>
      <c r="C59" s="7"/>
      <c r="D59" s="4" t="s">
        <v>11</v>
      </c>
      <c r="E59" s="4" t="s">
        <v>11</v>
      </c>
      <c r="F59" s="4" t="s">
        <v>11</v>
      </c>
      <c r="G59" s="4" t="s">
        <v>11</v>
      </c>
      <c r="H59" s="4" t="s">
        <v>11</v>
      </c>
      <c r="I59" s="10">
        <v>0</v>
      </c>
      <c r="J59" s="21"/>
    </row>
    <row r="60" spans="1:10" ht="21.75" customHeight="1" x14ac:dyDescent="0.25">
      <c r="A60" s="2">
        <v>57</v>
      </c>
      <c r="B60" s="3"/>
      <c r="C60" s="3"/>
      <c r="D60" s="8" t="s">
        <v>13</v>
      </c>
      <c r="E60" s="9" t="s">
        <v>14</v>
      </c>
      <c r="F60" s="8" t="s">
        <v>13</v>
      </c>
      <c r="G60" s="4" t="s">
        <v>11</v>
      </c>
      <c r="H60" s="4" t="s">
        <v>11</v>
      </c>
      <c r="I60" s="5">
        <v>0</v>
      </c>
      <c r="J60" s="17"/>
    </row>
    <row r="61" spans="1:10" ht="21.75" customHeight="1" x14ac:dyDescent="0.25">
      <c r="A61" s="6">
        <v>58</v>
      </c>
      <c r="B61" s="7"/>
      <c r="C61" s="7"/>
      <c r="D61" s="4" t="s">
        <v>11</v>
      </c>
      <c r="E61" s="4" t="s">
        <v>11</v>
      </c>
      <c r="F61" s="4" t="s">
        <v>11</v>
      </c>
      <c r="G61" s="4" t="s">
        <v>11</v>
      </c>
      <c r="H61" s="4" t="s">
        <v>11</v>
      </c>
      <c r="I61" s="10">
        <v>0</v>
      </c>
      <c r="J61" s="21"/>
    </row>
    <row r="62" spans="1:10" ht="21.75" customHeight="1" x14ac:dyDescent="0.25">
      <c r="A62" s="2">
        <v>59</v>
      </c>
      <c r="B62" s="7"/>
      <c r="C62" s="7"/>
      <c r="D62" s="4" t="s">
        <v>11</v>
      </c>
      <c r="E62" s="4" t="s">
        <v>11</v>
      </c>
      <c r="F62" s="4" t="s">
        <v>11</v>
      </c>
      <c r="G62" s="4" t="s">
        <v>11</v>
      </c>
      <c r="H62" s="4" t="s">
        <v>11</v>
      </c>
      <c r="I62" s="10">
        <v>0</v>
      </c>
      <c r="J62" s="21"/>
    </row>
    <row r="63" spans="1:10" ht="21.75" customHeight="1" x14ac:dyDescent="0.25">
      <c r="A63" s="6">
        <v>60</v>
      </c>
      <c r="B63" s="3"/>
      <c r="C63" s="3"/>
      <c r="D63" s="8" t="s">
        <v>13</v>
      </c>
      <c r="E63" s="9" t="s">
        <v>14</v>
      </c>
      <c r="F63" s="8" t="s">
        <v>13</v>
      </c>
      <c r="G63" s="4" t="s">
        <v>11</v>
      </c>
      <c r="H63" s="4" t="s">
        <v>11</v>
      </c>
      <c r="I63" s="5">
        <v>0</v>
      </c>
      <c r="J63" s="17"/>
    </row>
    <row r="64" spans="1:10" ht="21.75" customHeight="1" x14ac:dyDescent="0.25">
      <c r="A64" s="2">
        <v>61</v>
      </c>
      <c r="B64" s="7"/>
      <c r="C64" s="7"/>
      <c r="D64" s="4" t="s">
        <v>11</v>
      </c>
      <c r="E64" s="4" t="s">
        <v>11</v>
      </c>
      <c r="F64" s="4" t="s">
        <v>11</v>
      </c>
      <c r="G64" s="4" t="s">
        <v>11</v>
      </c>
      <c r="H64" s="4" t="s">
        <v>11</v>
      </c>
      <c r="I64" s="10">
        <v>0</v>
      </c>
      <c r="J64" s="21"/>
    </row>
    <row r="65" spans="1:10" ht="21.75" customHeight="1" x14ac:dyDescent="0.25">
      <c r="A65" s="6">
        <v>62</v>
      </c>
      <c r="B65" s="3"/>
      <c r="C65" s="3"/>
      <c r="D65" s="8" t="s">
        <v>13</v>
      </c>
      <c r="E65" s="9" t="s">
        <v>14</v>
      </c>
      <c r="F65" s="8" t="s">
        <v>13</v>
      </c>
      <c r="G65" s="4" t="s">
        <v>11</v>
      </c>
      <c r="H65" s="4" t="s">
        <v>11</v>
      </c>
      <c r="I65" s="5">
        <v>0</v>
      </c>
      <c r="J65" s="17"/>
    </row>
    <row r="66" spans="1:10" ht="21.75" customHeight="1" x14ac:dyDescent="0.25">
      <c r="A66" s="2">
        <v>63</v>
      </c>
      <c r="B66" s="7"/>
      <c r="C66" s="7"/>
      <c r="D66" s="4" t="s">
        <v>11</v>
      </c>
      <c r="E66" s="4" t="s">
        <v>11</v>
      </c>
      <c r="F66" s="4" t="s">
        <v>11</v>
      </c>
      <c r="G66" s="4" t="s">
        <v>11</v>
      </c>
      <c r="H66" s="4" t="s">
        <v>11</v>
      </c>
      <c r="I66" s="10">
        <v>0</v>
      </c>
      <c r="J66" s="21"/>
    </row>
    <row r="67" spans="1:10" ht="21.75" customHeight="1" x14ac:dyDescent="0.25">
      <c r="A67" s="6">
        <v>64</v>
      </c>
      <c r="B67" s="7"/>
      <c r="C67" s="7"/>
      <c r="D67" s="4" t="s">
        <v>11</v>
      </c>
      <c r="E67" s="4" t="s">
        <v>11</v>
      </c>
      <c r="F67" s="4" t="s">
        <v>11</v>
      </c>
      <c r="G67" s="4" t="s">
        <v>11</v>
      </c>
      <c r="H67" s="4" t="s">
        <v>11</v>
      </c>
      <c r="I67" s="10">
        <v>0</v>
      </c>
      <c r="J67" s="21"/>
    </row>
    <row r="68" spans="1:10" ht="21.75" customHeight="1" x14ac:dyDescent="0.25">
      <c r="A68" s="2">
        <v>65</v>
      </c>
      <c r="B68" s="3"/>
      <c r="C68" s="3"/>
      <c r="D68" s="8" t="s">
        <v>13</v>
      </c>
      <c r="E68" s="9" t="s">
        <v>14</v>
      </c>
      <c r="F68" s="8" t="s">
        <v>13</v>
      </c>
      <c r="G68" s="4" t="s">
        <v>11</v>
      </c>
      <c r="H68" s="4" t="s">
        <v>11</v>
      </c>
      <c r="I68" s="5">
        <v>0</v>
      </c>
      <c r="J68" s="17"/>
    </row>
    <row r="69" spans="1:10" ht="21.75" customHeight="1" x14ac:dyDescent="0.25">
      <c r="A69" s="6">
        <v>66</v>
      </c>
      <c r="B69" s="7"/>
      <c r="C69" s="7"/>
      <c r="D69" s="4" t="s">
        <v>11</v>
      </c>
      <c r="E69" s="4" t="s">
        <v>11</v>
      </c>
      <c r="F69" s="4" t="s">
        <v>11</v>
      </c>
      <c r="G69" s="4" t="s">
        <v>11</v>
      </c>
      <c r="H69" s="4" t="s">
        <v>11</v>
      </c>
      <c r="I69" s="10">
        <v>0</v>
      </c>
      <c r="J69" s="21"/>
    </row>
    <row r="70" spans="1:10" ht="21.75" customHeight="1" x14ac:dyDescent="0.25">
      <c r="A70" s="2">
        <v>67</v>
      </c>
      <c r="B70" s="3"/>
      <c r="C70" s="3"/>
      <c r="D70" s="8" t="s">
        <v>13</v>
      </c>
      <c r="E70" s="9" t="s">
        <v>14</v>
      </c>
      <c r="F70" s="8" t="s">
        <v>13</v>
      </c>
      <c r="G70" s="4" t="s">
        <v>11</v>
      </c>
      <c r="H70" s="4" t="s">
        <v>11</v>
      </c>
      <c r="I70" s="5">
        <v>0</v>
      </c>
      <c r="J70" s="17"/>
    </row>
    <row r="71" spans="1:10" ht="21.75" customHeight="1" x14ac:dyDescent="0.25">
      <c r="A71" s="6">
        <v>68</v>
      </c>
      <c r="B71" s="7"/>
      <c r="C71" s="7"/>
      <c r="D71" s="4" t="s">
        <v>11</v>
      </c>
      <c r="E71" s="4" t="s">
        <v>11</v>
      </c>
      <c r="F71" s="4" t="s">
        <v>11</v>
      </c>
      <c r="G71" s="4" t="s">
        <v>11</v>
      </c>
      <c r="H71" s="4" t="s">
        <v>11</v>
      </c>
      <c r="I71" s="10">
        <v>0</v>
      </c>
      <c r="J71" s="21"/>
    </row>
    <row r="72" spans="1:10" ht="21.75" customHeight="1" x14ac:dyDescent="0.25">
      <c r="A72" s="2">
        <v>69</v>
      </c>
      <c r="B72" s="7"/>
      <c r="C72" s="7"/>
      <c r="D72" s="4" t="s">
        <v>11</v>
      </c>
      <c r="E72" s="4" t="s">
        <v>11</v>
      </c>
      <c r="F72" s="4" t="s">
        <v>11</v>
      </c>
      <c r="G72" s="4" t="s">
        <v>11</v>
      </c>
      <c r="H72" s="4" t="s">
        <v>11</v>
      </c>
      <c r="I72" s="10">
        <v>0</v>
      </c>
      <c r="J72" s="21"/>
    </row>
    <row r="73" spans="1:10" ht="21.75" customHeight="1" x14ac:dyDescent="0.25">
      <c r="A73" s="6">
        <v>70</v>
      </c>
      <c r="B73" s="3"/>
      <c r="C73" s="3"/>
      <c r="D73" s="8" t="s">
        <v>13</v>
      </c>
      <c r="E73" s="9" t="s">
        <v>14</v>
      </c>
      <c r="F73" s="8" t="s">
        <v>13</v>
      </c>
      <c r="G73" s="4" t="s">
        <v>11</v>
      </c>
      <c r="H73" s="4" t="s">
        <v>11</v>
      </c>
      <c r="I73" s="5">
        <v>0</v>
      </c>
      <c r="J73" s="17"/>
    </row>
    <row r="74" spans="1:10" ht="21.75" customHeight="1" x14ac:dyDescent="0.25">
      <c r="A74" s="2">
        <v>71</v>
      </c>
      <c r="B74" s="7"/>
      <c r="C74" s="7"/>
      <c r="D74" s="4" t="s">
        <v>11</v>
      </c>
      <c r="E74" s="4" t="s">
        <v>11</v>
      </c>
      <c r="F74" s="4" t="s">
        <v>11</v>
      </c>
      <c r="G74" s="4" t="s">
        <v>11</v>
      </c>
      <c r="H74" s="4" t="s">
        <v>11</v>
      </c>
      <c r="I74" s="10">
        <v>0</v>
      </c>
      <c r="J74" s="21"/>
    </row>
    <row r="75" spans="1:10" ht="21.75" customHeight="1" x14ac:dyDescent="0.25">
      <c r="A75" s="6">
        <v>72</v>
      </c>
      <c r="B75" s="3"/>
      <c r="C75" s="3"/>
      <c r="D75" s="8" t="s">
        <v>13</v>
      </c>
      <c r="E75" s="9" t="s">
        <v>14</v>
      </c>
      <c r="F75" s="8" t="s">
        <v>13</v>
      </c>
      <c r="G75" s="4" t="s">
        <v>11</v>
      </c>
      <c r="H75" s="4" t="s">
        <v>11</v>
      </c>
      <c r="I75" s="5">
        <v>0</v>
      </c>
      <c r="J75" s="17"/>
    </row>
    <row r="76" spans="1:10" ht="21.75" customHeight="1" x14ac:dyDescent="0.25">
      <c r="A76" s="2">
        <v>73</v>
      </c>
      <c r="B76" s="7"/>
      <c r="C76" s="7"/>
      <c r="D76" s="4" t="s">
        <v>11</v>
      </c>
      <c r="E76" s="4" t="s">
        <v>11</v>
      </c>
      <c r="F76" s="4" t="s">
        <v>11</v>
      </c>
      <c r="G76" s="4" t="s">
        <v>11</v>
      </c>
      <c r="H76" s="4" t="s">
        <v>11</v>
      </c>
      <c r="I76" s="10">
        <v>0</v>
      </c>
      <c r="J76" s="21"/>
    </row>
    <row r="77" spans="1:10" ht="21.75" customHeight="1" x14ac:dyDescent="0.25">
      <c r="A77" s="6">
        <v>74</v>
      </c>
      <c r="B77" s="7"/>
      <c r="C77" s="7"/>
      <c r="D77" s="4" t="s">
        <v>11</v>
      </c>
      <c r="E77" s="4" t="s">
        <v>11</v>
      </c>
      <c r="F77" s="4" t="s">
        <v>11</v>
      </c>
      <c r="G77" s="4" t="s">
        <v>11</v>
      </c>
      <c r="H77" s="4" t="s">
        <v>11</v>
      </c>
      <c r="I77" s="10">
        <v>0</v>
      </c>
      <c r="J77" s="21"/>
    </row>
    <row r="78" spans="1:10" ht="21.75" customHeight="1" x14ac:dyDescent="0.25">
      <c r="A78" s="2">
        <v>75</v>
      </c>
      <c r="B78" s="3"/>
      <c r="C78" s="3"/>
      <c r="D78" s="8" t="s">
        <v>13</v>
      </c>
      <c r="E78" s="9" t="s">
        <v>14</v>
      </c>
      <c r="F78" s="8" t="s">
        <v>13</v>
      </c>
      <c r="G78" s="4" t="s">
        <v>11</v>
      </c>
      <c r="H78" s="4" t="s">
        <v>11</v>
      </c>
      <c r="I78" s="5">
        <v>0</v>
      </c>
      <c r="J78" s="17"/>
    </row>
    <row r="79" spans="1:10" ht="21.75" customHeight="1" x14ac:dyDescent="0.25">
      <c r="A79" s="6">
        <v>76</v>
      </c>
      <c r="B79" s="7"/>
      <c r="C79" s="7"/>
      <c r="D79" s="4" t="s">
        <v>11</v>
      </c>
      <c r="E79" s="4" t="s">
        <v>11</v>
      </c>
      <c r="F79" s="4" t="s">
        <v>11</v>
      </c>
      <c r="G79" s="4" t="s">
        <v>11</v>
      </c>
      <c r="H79" s="4" t="s">
        <v>11</v>
      </c>
      <c r="I79" s="10">
        <v>0</v>
      </c>
      <c r="J79" s="21"/>
    </row>
    <row r="80" spans="1:10" ht="21.75" customHeight="1" x14ac:dyDescent="0.25">
      <c r="A80" s="2">
        <v>77</v>
      </c>
      <c r="B80" s="3"/>
      <c r="C80" s="3"/>
      <c r="D80" s="8" t="s">
        <v>13</v>
      </c>
      <c r="E80" s="9" t="s">
        <v>14</v>
      </c>
      <c r="F80" s="8" t="s">
        <v>13</v>
      </c>
      <c r="G80" s="4" t="s">
        <v>11</v>
      </c>
      <c r="H80" s="4" t="s">
        <v>11</v>
      </c>
      <c r="I80" s="5">
        <v>0</v>
      </c>
      <c r="J80" s="17"/>
    </row>
    <row r="81" spans="1:10" ht="21.75" customHeight="1" x14ac:dyDescent="0.25">
      <c r="A81" s="6">
        <v>78</v>
      </c>
      <c r="B81" s="7"/>
      <c r="C81" s="7"/>
      <c r="D81" s="4" t="s">
        <v>11</v>
      </c>
      <c r="E81" s="4" t="s">
        <v>11</v>
      </c>
      <c r="F81" s="4" t="s">
        <v>11</v>
      </c>
      <c r="G81" s="4" t="s">
        <v>11</v>
      </c>
      <c r="H81" s="4" t="s">
        <v>11</v>
      </c>
      <c r="I81" s="10">
        <v>0</v>
      </c>
      <c r="J81" s="21"/>
    </row>
    <row r="82" spans="1:10" ht="21.75" customHeight="1" x14ac:dyDescent="0.25">
      <c r="A82" s="2">
        <v>79</v>
      </c>
      <c r="B82" s="7"/>
      <c r="C82" s="7"/>
      <c r="D82" s="4" t="s">
        <v>11</v>
      </c>
      <c r="E82" s="4" t="s">
        <v>11</v>
      </c>
      <c r="F82" s="4" t="s">
        <v>11</v>
      </c>
      <c r="G82" s="4" t="s">
        <v>11</v>
      </c>
      <c r="H82" s="4" t="s">
        <v>11</v>
      </c>
      <c r="I82" s="10">
        <v>0</v>
      </c>
      <c r="J82" s="21"/>
    </row>
    <row r="83" spans="1:10" ht="21.75" customHeight="1" x14ac:dyDescent="0.25">
      <c r="A83" s="6">
        <v>80</v>
      </c>
      <c r="B83" s="3"/>
      <c r="C83" s="3"/>
      <c r="D83" s="8" t="s">
        <v>13</v>
      </c>
      <c r="E83" s="9" t="s">
        <v>14</v>
      </c>
      <c r="F83" s="8" t="s">
        <v>13</v>
      </c>
      <c r="G83" s="4" t="s">
        <v>11</v>
      </c>
      <c r="H83" s="4" t="s">
        <v>11</v>
      </c>
      <c r="I83" s="5">
        <v>0</v>
      </c>
      <c r="J83" s="17"/>
    </row>
    <row r="84" spans="1:10" ht="21.75" customHeight="1" x14ac:dyDescent="0.25">
      <c r="A84" s="2">
        <v>81</v>
      </c>
      <c r="B84" s="7"/>
      <c r="C84" s="7"/>
      <c r="D84" s="4" t="s">
        <v>11</v>
      </c>
      <c r="E84" s="4" t="s">
        <v>11</v>
      </c>
      <c r="F84" s="4" t="s">
        <v>11</v>
      </c>
      <c r="G84" s="4" t="s">
        <v>11</v>
      </c>
      <c r="H84" s="4" t="s">
        <v>11</v>
      </c>
      <c r="I84" s="10">
        <v>0</v>
      </c>
      <c r="J84" s="21"/>
    </row>
    <row r="85" spans="1:10" ht="21.75" customHeight="1" x14ac:dyDescent="0.25">
      <c r="A85" s="6">
        <v>82</v>
      </c>
      <c r="B85" s="3"/>
      <c r="C85" s="3"/>
      <c r="D85" s="8" t="s">
        <v>13</v>
      </c>
      <c r="E85" s="9" t="s">
        <v>14</v>
      </c>
      <c r="F85" s="8" t="s">
        <v>13</v>
      </c>
      <c r="G85" s="4" t="s">
        <v>11</v>
      </c>
      <c r="H85" s="4" t="s">
        <v>11</v>
      </c>
      <c r="I85" s="5">
        <v>0</v>
      </c>
      <c r="J85" s="17"/>
    </row>
    <row r="86" spans="1:10" ht="21.75" customHeight="1" x14ac:dyDescent="0.25">
      <c r="A86" s="2">
        <v>83</v>
      </c>
      <c r="B86" s="7"/>
      <c r="C86" s="7"/>
      <c r="D86" s="4" t="s">
        <v>11</v>
      </c>
      <c r="E86" s="4" t="s">
        <v>11</v>
      </c>
      <c r="F86" s="4" t="s">
        <v>11</v>
      </c>
      <c r="G86" s="4" t="s">
        <v>11</v>
      </c>
      <c r="H86" s="4" t="s">
        <v>11</v>
      </c>
      <c r="I86" s="10">
        <v>0</v>
      </c>
      <c r="J86" s="21"/>
    </row>
    <row r="87" spans="1:10" ht="23.25" customHeight="1" x14ac:dyDescent="0.25">
      <c r="A87" s="28" t="s">
        <v>20</v>
      </c>
      <c r="B87" s="29"/>
      <c r="C87" s="29"/>
      <c r="D87" s="29"/>
      <c r="E87" s="29"/>
      <c r="F87" s="29"/>
      <c r="G87" s="29"/>
      <c r="H87" s="30"/>
      <c r="I87" s="12">
        <f>SUM(I4:I8)</f>
        <v>2400</v>
      </c>
      <c r="J87" s="13"/>
    </row>
  </sheetData>
  <mergeCells count="3">
    <mergeCell ref="A1:J1"/>
    <mergeCell ref="A2:J2"/>
    <mergeCell ref="A87:H87"/>
  </mergeCells>
  <dataValidations count="1">
    <dataValidation type="list" allowBlank="1" showInputMessage="1" showErrorMessage="1" errorTitle="Невірний стан" error="Оберіть значення зі списку" promptTitle="Стан компонента" prompt="Оберіть: ✅ Хорошее / ⚠️ Среднее / ❌ Плохое / 🔧 На ремонт / ❌ Нет" sqref="D4:H86" xr:uid="{00000000-0002-0000-0000-000000000000}">
      <formula1>"✅ Хорошее,⚠️ Среднее,❌ Плохое,🔧 На ремонт,❌ Нет"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94560"/>
  </sheetPr>
  <dimension ref="A1:N69"/>
  <sheetViews>
    <sheetView showGridLines="0" zoomScale="175" zoomScaleNormal="175" workbookViewId="0">
      <pane ySplit="3" topLeftCell="A4" activePane="bottomLeft" state="frozen"/>
      <selection pane="bottomLeft" activeCell="C62" sqref="C62"/>
    </sheetView>
  </sheetViews>
  <sheetFormatPr defaultColWidth="8.7109375" defaultRowHeight="15" x14ac:dyDescent="0.25"/>
  <cols>
    <col min="1" max="1" width="5" customWidth="1"/>
    <col min="2" max="2" width="24" customWidth="1"/>
    <col min="3" max="3" width="20" customWidth="1"/>
    <col min="4" max="12" width="20.7109375" customWidth="1"/>
    <col min="13" max="13" width="18" customWidth="1"/>
    <col min="14" max="14" width="22" customWidth="1"/>
  </cols>
  <sheetData>
    <row r="1" spans="1:14" ht="36" customHeight="1" x14ac:dyDescent="0.25">
      <c r="A1" s="26" t="s">
        <v>55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spans="1:14" ht="18" customHeight="1" x14ac:dyDescent="0.25">
      <c r="A2" s="27" t="str">
        <f ca="1">TEXT(TODAY(),"DD.MM.YYYY")</f>
        <v>12.05.YYYY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 ht="31.5" customHeight="1" thickBot="1" x14ac:dyDescent="0.3">
      <c r="A3" s="1" t="s">
        <v>1</v>
      </c>
      <c r="B3" s="1" t="s">
        <v>56</v>
      </c>
      <c r="C3" s="1" t="s">
        <v>51</v>
      </c>
      <c r="D3" s="1" t="s">
        <v>21</v>
      </c>
      <c r="E3" s="1" t="s">
        <v>22</v>
      </c>
      <c r="F3" s="1" t="s">
        <v>6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7</v>
      </c>
      <c r="L3" s="1" t="s">
        <v>8</v>
      </c>
      <c r="M3" s="1" t="s">
        <v>9</v>
      </c>
      <c r="N3" s="1" t="s">
        <v>10</v>
      </c>
    </row>
    <row r="4" spans="1:14" ht="21.75" customHeight="1" x14ac:dyDescent="0.25">
      <c r="A4" s="2">
        <v>1</v>
      </c>
      <c r="B4" s="3"/>
      <c r="C4" s="3"/>
      <c r="D4" s="4" t="s">
        <v>11</v>
      </c>
      <c r="E4" s="4" t="s">
        <v>11</v>
      </c>
      <c r="F4" s="9" t="s">
        <v>14</v>
      </c>
      <c r="G4" s="4" t="s">
        <v>11</v>
      </c>
      <c r="H4" s="4" t="s">
        <v>11</v>
      </c>
      <c r="I4" s="4" t="s">
        <v>11</v>
      </c>
      <c r="J4" s="4" t="s">
        <v>11</v>
      </c>
      <c r="K4" s="4" t="s">
        <v>11</v>
      </c>
      <c r="L4" s="4" t="s">
        <v>11</v>
      </c>
      <c r="M4" s="5">
        <v>14000</v>
      </c>
      <c r="N4" s="3"/>
    </row>
    <row r="5" spans="1:14" ht="21.75" customHeight="1" x14ac:dyDescent="0.25">
      <c r="A5" s="6">
        <v>2</v>
      </c>
      <c r="B5" s="7"/>
      <c r="C5" s="7"/>
      <c r="D5" s="9" t="s">
        <v>14</v>
      </c>
      <c r="E5" s="4" t="s">
        <v>11</v>
      </c>
      <c r="F5" s="4" t="s">
        <v>11</v>
      </c>
      <c r="G5" s="4" t="s">
        <v>11</v>
      </c>
      <c r="H5" s="9" t="s">
        <v>14</v>
      </c>
      <c r="I5" s="4" t="s">
        <v>11</v>
      </c>
      <c r="J5" s="9" t="s">
        <v>14</v>
      </c>
      <c r="K5" s="4" t="s">
        <v>11</v>
      </c>
      <c r="L5" s="9" t="s">
        <v>14</v>
      </c>
      <c r="M5" s="10">
        <v>9500</v>
      </c>
      <c r="N5" s="7"/>
    </row>
    <row r="6" spans="1:14" ht="21.75" customHeight="1" x14ac:dyDescent="0.25">
      <c r="A6" s="2">
        <v>3</v>
      </c>
      <c r="B6" s="3"/>
      <c r="C6" s="3"/>
      <c r="D6" s="8" t="s">
        <v>13</v>
      </c>
      <c r="E6" s="9" t="s">
        <v>14</v>
      </c>
      <c r="F6" s="4" t="s">
        <v>11</v>
      </c>
      <c r="G6" s="4" t="s">
        <v>11</v>
      </c>
      <c r="H6" s="4" t="s">
        <v>11</v>
      </c>
      <c r="I6" s="9" t="s">
        <v>14</v>
      </c>
      <c r="J6" s="4" t="s">
        <v>11</v>
      </c>
      <c r="K6" s="4" t="s">
        <v>11</v>
      </c>
      <c r="L6" s="8" t="s">
        <v>13</v>
      </c>
      <c r="M6" s="5">
        <v>6000</v>
      </c>
      <c r="N6" s="3"/>
    </row>
    <row r="7" spans="1:14" ht="21.75" customHeight="1" x14ac:dyDescent="0.25">
      <c r="A7" s="6">
        <v>4</v>
      </c>
      <c r="B7" s="7"/>
      <c r="C7" s="7"/>
      <c r="D7" s="4" t="s">
        <v>11</v>
      </c>
      <c r="E7" s="4" t="s">
        <v>11</v>
      </c>
      <c r="F7" s="9" t="s">
        <v>14</v>
      </c>
      <c r="G7" s="4" t="s">
        <v>11</v>
      </c>
      <c r="H7" s="9" t="s">
        <v>14</v>
      </c>
      <c r="I7" s="4" t="s">
        <v>11</v>
      </c>
      <c r="J7" s="4" t="s">
        <v>11</v>
      </c>
      <c r="K7" s="4" t="s">
        <v>11</v>
      </c>
      <c r="L7" s="9" t="s">
        <v>14</v>
      </c>
      <c r="M7" s="10">
        <v>4500</v>
      </c>
      <c r="N7" s="7"/>
    </row>
    <row r="8" spans="1:14" ht="21.75" customHeight="1" x14ac:dyDescent="0.25">
      <c r="A8" s="2">
        <v>5</v>
      </c>
      <c r="B8" s="3"/>
      <c r="C8" s="3"/>
      <c r="D8" s="4" t="s">
        <v>11</v>
      </c>
      <c r="E8" s="4" t="s">
        <v>11</v>
      </c>
      <c r="F8" s="4" t="s">
        <v>11</v>
      </c>
      <c r="G8" s="4" t="s">
        <v>11</v>
      </c>
      <c r="H8" s="4" t="s">
        <v>11</v>
      </c>
      <c r="I8" s="4" t="s">
        <v>11</v>
      </c>
      <c r="J8" s="4" t="s">
        <v>11</v>
      </c>
      <c r="K8" s="11" t="s">
        <v>27</v>
      </c>
      <c r="L8" s="4" t="s">
        <v>11</v>
      </c>
      <c r="M8" s="5">
        <v>8000</v>
      </c>
      <c r="N8" s="3"/>
    </row>
    <row r="9" spans="1:14" ht="21.75" customHeight="1" x14ac:dyDescent="0.25">
      <c r="A9" s="6">
        <v>6</v>
      </c>
      <c r="B9" s="7"/>
      <c r="C9" s="7"/>
      <c r="D9" s="9" t="s">
        <v>14</v>
      </c>
      <c r="E9" s="4" t="s">
        <v>11</v>
      </c>
      <c r="F9" s="4" t="s">
        <v>11</v>
      </c>
      <c r="G9" s="4" t="s">
        <v>11</v>
      </c>
      <c r="H9" s="9" t="s">
        <v>14</v>
      </c>
      <c r="I9" s="4" t="s">
        <v>11</v>
      </c>
      <c r="J9" s="9" t="s">
        <v>14</v>
      </c>
      <c r="K9" s="4" t="s">
        <v>11</v>
      </c>
      <c r="L9" s="9" t="s">
        <v>14</v>
      </c>
      <c r="M9" s="10">
        <v>9500</v>
      </c>
      <c r="N9" s="7"/>
    </row>
    <row r="10" spans="1:14" ht="21.75" customHeight="1" x14ac:dyDescent="0.25">
      <c r="A10" s="2">
        <v>7</v>
      </c>
      <c r="B10" s="3"/>
      <c r="C10" s="3"/>
      <c r="D10" s="8" t="s">
        <v>13</v>
      </c>
      <c r="E10" s="9" t="s">
        <v>14</v>
      </c>
      <c r="F10" s="4" t="s">
        <v>11</v>
      </c>
      <c r="G10" s="4" t="s">
        <v>11</v>
      </c>
      <c r="H10" s="4" t="s">
        <v>11</v>
      </c>
      <c r="I10" s="9" t="s">
        <v>14</v>
      </c>
      <c r="J10" s="4" t="s">
        <v>11</v>
      </c>
      <c r="K10" s="4" t="s">
        <v>11</v>
      </c>
      <c r="L10" s="8" t="s">
        <v>13</v>
      </c>
      <c r="M10" s="5">
        <v>6000</v>
      </c>
      <c r="N10" s="3"/>
    </row>
    <row r="11" spans="1:14" ht="21.75" customHeight="1" x14ac:dyDescent="0.25">
      <c r="A11" s="6">
        <v>8</v>
      </c>
      <c r="B11" s="7"/>
      <c r="C11" s="7"/>
      <c r="D11" s="4" t="s">
        <v>11</v>
      </c>
      <c r="E11" s="4" t="s">
        <v>11</v>
      </c>
      <c r="F11" s="9" t="s">
        <v>14</v>
      </c>
      <c r="G11" s="4" t="s">
        <v>11</v>
      </c>
      <c r="H11" s="9" t="s">
        <v>14</v>
      </c>
      <c r="I11" s="4" t="s">
        <v>11</v>
      </c>
      <c r="J11" s="4" t="s">
        <v>11</v>
      </c>
      <c r="K11" s="4" t="s">
        <v>11</v>
      </c>
      <c r="L11" s="9" t="s">
        <v>14</v>
      </c>
      <c r="M11" s="10">
        <v>4500</v>
      </c>
      <c r="N11" s="7"/>
    </row>
    <row r="12" spans="1:14" ht="21.75" customHeight="1" x14ac:dyDescent="0.25">
      <c r="A12" s="2">
        <v>9</v>
      </c>
      <c r="B12" s="3"/>
      <c r="C12" s="3"/>
      <c r="D12" s="4" t="s">
        <v>11</v>
      </c>
      <c r="E12" s="4" t="s">
        <v>11</v>
      </c>
      <c r="F12" s="4" t="s">
        <v>11</v>
      </c>
      <c r="G12" s="4" t="s">
        <v>11</v>
      </c>
      <c r="H12" s="4" t="s">
        <v>11</v>
      </c>
      <c r="I12" s="4" t="s">
        <v>11</v>
      </c>
      <c r="J12" s="4" t="s">
        <v>11</v>
      </c>
      <c r="K12" s="11" t="s">
        <v>27</v>
      </c>
      <c r="L12" s="4" t="s">
        <v>11</v>
      </c>
      <c r="M12" s="5">
        <v>8000</v>
      </c>
      <c r="N12" s="3"/>
    </row>
    <row r="13" spans="1:14" ht="21.75" customHeight="1" x14ac:dyDescent="0.25">
      <c r="A13" s="6">
        <v>10</v>
      </c>
      <c r="B13" s="7"/>
      <c r="C13" s="7"/>
      <c r="D13" s="9" t="s">
        <v>14</v>
      </c>
      <c r="E13" s="4" t="s">
        <v>11</v>
      </c>
      <c r="F13" s="4" t="s">
        <v>11</v>
      </c>
      <c r="G13" s="4" t="s">
        <v>11</v>
      </c>
      <c r="H13" s="9" t="s">
        <v>14</v>
      </c>
      <c r="I13" s="4" t="s">
        <v>11</v>
      </c>
      <c r="J13" s="9" t="s">
        <v>14</v>
      </c>
      <c r="K13" s="4" t="s">
        <v>11</v>
      </c>
      <c r="L13" s="9" t="s">
        <v>14</v>
      </c>
      <c r="M13" s="10">
        <v>9500</v>
      </c>
      <c r="N13" s="7"/>
    </row>
    <row r="14" spans="1:14" ht="21.75" customHeight="1" x14ac:dyDescent="0.25">
      <c r="A14" s="2">
        <v>11</v>
      </c>
      <c r="B14" s="3"/>
      <c r="C14" s="3"/>
      <c r="D14" s="8" t="s">
        <v>13</v>
      </c>
      <c r="E14" s="9" t="s">
        <v>14</v>
      </c>
      <c r="F14" s="4" t="s">
        <v>11</v>
      </c>
      <c r="G14" s="4" t="s">
        <v>11</v>
      </c>
      <c r="H14" s="4" t="s">
        <v>11</v>
      </c>
      <c r="I14" s="9" t="s">
        <v>14</v>
      </c>
      <c r="J14" s="4" t="s">
        <v>11</v>
      </c>
      <c r="K14" s="4" t="s">
        <v>11</v>
      </c>
      <c r="L14" s="8" t="s">
        <v>13</v>
      </c>
      <c r="M14" s="5">
        <v>6000</v>
      </c>
      <c r="N14" s="3"/>
    </row>
    <row r="15" spans="1:14" ht="21.75" customHeight="1" x14ac:dyDescent="0.25">
      <c r="A15" s="6">
        <v>12</v>
      </c>
      <c r="B15" s="7"/>
      <c r="C15" s="7"/>
      <c r="D15" s="4" t="s">
        <v>11</v>
      </c>
      <c r="E15" s="4" t="s">
        <v>11</v>
      </c>
      <c r="F15" s="9" t="s">
        <v>14</v>
      </c>
      <c r="G15" s="4" t="s">
        <v>11</v>
      </c>
      <c r="H15" s="9" t="s">
        <v>14</v>
      </c>
      <c r="I15" s="4" t="s">
        <v>11</v>
      </c>
      <c r="J15" s="4" t="s">
        <v>11</v>
      </c>
      <c r="K15" s="4" t="s">
        <v>11</v>
      </c>
      <c r="L15" s="9" t="s">
        <v>14</v>
      </c>
      <c r="M15" s="10">
        <v>4500</v>
      </c>
      <c r="N15" s="7"/>
    </row>
    <row r="16" spans="1:14" ht="21.75" customHeight="1" x14ac:dyDescent="0.25">
      <c r="A16" s="2">
        <v>13</v>
      </c>
      <c r="B16" s="3"/>
      <c r="C16" s="3"/>
      <c r="D16" s="4" t="s">
        <v>11</v>
      </c>
      <c r="E16" s="4" t="s">
        <v>11</v>
      </c>
      <c r="F16" s="4" t="s">
        <v>11</v>
      </c>
      <c r="G16" s="4" t="s">
        <v>11</v>
      </c>
      <c r="H16" s="4" t="s">
        <v>11</v>
      </c>
      <c r="I16" s="4" t="s">
        <v>11</v>
      </c>
      <c r="J16" s="4" t="s">
        <v>11</v>
      </c>
      <c r="K16" s="11" t="s">
        <v>27</v>
      </c>
      <c r="L16" s="4" t="s">
        <v>11</v>
      </c>
      <c r="M16" s="5">
        <v>8000</v>
      </c>
      <c r="N16" s="3"/>
    </row>
    <row r="17" spans="1:14" ht="21.75" customHeight="1" x14ac:dyDescent="0.25">
      <c r="A17" s="6">
        <v>14</v>
      </c>
      <c r="B17" s="7"/>
      <c r="C17" s="7"/>
      <c r="D17" s="9" t="s">
        <v>14</v>
      </c>
      <c r="E17" s="4" t="s">
        <v>11</v>
      </c>
      <c r="F17" s="4" t="s">
        <v>11</v>
      </c>
      <c r="G17" s="4" t="s">
        <v>11</v>
      </c>
      <c r="H17" s="9" t="s">
        <v>14</v>
      </c>
      <c r="I17" s="4" t="s">
        <v>11</v>
      </c>
      <c r="J17" s="9" t="s">
        <v>14</v>
      </c>
      <c r="K17" s="4" t="s">
        <v>11</v>
      </c>
      <c r="L17" s="9" t="s">
        <v>14</v>
      </c>
      <c r="M17" s="10">
        <v>9500</v>
      </c>
      <c r="N17" s="7"/>
    </row>
    <row r="18" spans="1:14" ht="21.75" customHeight="1" x14ac:dyDescent="0.25">
      <c r="A18" s="2">
        <v>15</v>
      </c>
      <c r="B18" s="3"/>
      <c r="C18" s="3"/>
      <c r="D18" s="8" t="s">
        <v>13</v>
      </c>
      <c r="E18" s="9" t="s">
        <v>14</v>
      </c>
      <c r="F18" s="4" t="s">
        <v>11</v>
      </c>
      <c r="G18" s="4" t="s">
        <v>11</v>
      </c>
      <c r="H18" s="4" t="s">
        <v>11</v>
      </c>
      <c r="I18" s="9" t="s">
        <v>14</v>
      </c>
      <c r="J18" s="4" t="s">
        <v>11</v>
      </c>
      <c r="K18" s="4" t="s">
        <v>11</v>
      </c>
      <c r="L18" s="8" t="s">
        <v>13</v>
      </c>
      <c r="M18" s="5">
        <v>6000</v>
      </c>
      <c r="N18" s="3"/>
    </row>
    <row r="19" spans="1:14" ht="21.75" customHeight="1" x14ac:dyDescent="0.25">
      <c r="A19" s="6">
        <v>16</v>
      </c>
      <c r="B19" s="7"/>
      <c r="C19" s="7"/>
      <c r="D19" s="4" t="s">
        <v>11</v>
      </c>
      <c r="E19" s="4" t="s">
        <v>11</v>
      </c>
      <c r="F19" s="9" t="s">
        <v>14</v>
      </c>
      <c r="G19" s="4" t="s">
        <v>11</v>
      </c>
      <c r="H19" s="9" t="s">
        <v>14</v>
      </c>
      <c r="I19" s="4" t="s">
        <v>11</v>
      </c>
      <c r="J19" s="4" t="s">
        <v>11</v>
      </c>
      <c r="K19" s="4" t="s">
        <v>11</v>
      </c>
      <c r="L19" s="9" t="s">
        <v>14</v>
      </c>
      <c r="M19" s="10">
        <v>4500</v>
      </c>
      <c r="N19" s="7"/>
    </row>
    <row r="20" spans="1:14" ht="21.75" customHeight="1" x14ac:dyDescent="0.25">
      <c r="A20" s="2">
        <v>17</v>
      </c>
      <c r="B20" s="3"/>
      <c r="C20" s="3"/>
      <c r="D20" s="4" t="s">
        <v>11</v>
      </c>
      <c r="E20" s="4" t="s">
        <v>11</v>
      </c>
      <c r="F20" s="4" t="s">
        <v>11</v>
      </c>
      <c r="G20" s="4" t="s">
        <v>11</v>
      </c>
      <c r="H20" s="4" t="s">
        <v>11</v>
      </c>
      <c r="I20" s="4" t="s">
        <v>11</v>
      </c>
      <c r="J20" s="4" t="s">
        <v>11</v>
      </c>
      <c r="K20" s="11" t="s">
        <v>27</v>
      </c>
      <c r="L20" s="4" t="s">
        <v>11</v>
      </c>
      <c r="M20" s="5">
        <v>8000</v>
      </c>
      <c r="N20" s="3"/>
    </row>
    <row r="21" spans="1:14" ht="21.75" customHeight="1" x14ac:dyDescent="0.25">
      <c r="A21" s="6">
        <v>18</v>
      </c>
      <c r="B21" s="7"/>
      <c r="C21" s="7"/>
      <c r="D21" s="9" t="s">
        <v>14</v>
      </c>
      <c r="E21" s="4" t="s">
        <v>11</v>
      </c>
      <c r="F21" s="4" t="s">
        <v>11</v>
      </c>
      <c r="G21" s="4" t="s">
        <v>11</v>
      </c>
      <c r="H21" s="9" t="s">
        <v>14</v>
      </c>
      <c r="I21" s="4" t="s">
        <v>11</v>
      </c>
      <c r="J21" s="9" t="s">
        <v>14</v>
      </c>
      <c r="K21" s="4" t="s">
        <v>11</v>
      </c>
      <c r="L21" s="9" t="s">
        <v>14</v>
      </c>
      <c r="M21" s="10">
        <v>9500</v>
      </c>
      <c r="N21" s="7"/>
    </row>
    <row r="22" spans="1:14" ht="21.75" customHeight="1" x14ac:dyDescent="0.25">
      <c r="A22" s="2">
        <v>19</v>
      </c>
      <c r="B22" s="3"/>
      <c r="C22" s="3"/>
      <c r="D22" s="8" t="s">
        <v>13</v>
      </c>
      <c r="E22" s="9" t="s">
        <v>14</v>
      </c>
      <c r="F22" s="4" t="s">
        <v>11</v>
      </c>
      <c r="G22" s="4" t="s">
        <v>11</v>
      </c>
      <c r="H22" s="4" t="s">
        <v>11</v>
      </c>
      <c r="I22" s="9" t="s">
        <v>14</v>
      </c>
      <c r="J22" s="4" t="s">
        <v>11</v>
      </c>
      <c r="K22" s="4" t="s">
        <v>11</v>
      </c>
      <c r="L22" s="8" t="s">
        <v>13</v>
      </c>
      <c r="M22" s="5">
        <v>6000</v>
      </c>
      <c r="N22" s="3"/>
    </row>
    <row r="23" spans="1:14" ht="21.75" customHeight="1" x14ac:dyDescent="0.25">
      <c r="A23" s="6">
        <v>20</v>
      </c>
      <c r="B23" s="7"/>
      <c r="C23" s="7"/>
      <c r="D23" s="4" t="s">
        <v>11</v>
      </c>
      <c r="E23" s="4" t="s">
        <v>11</v>
      </c>
      <c r="F23" s="9" t="s">
        <v>14</v>
      </c>
      <c r="G23" s="4" t="s">
        <v>11</v>
      </c>
      <c r="H23" s="9" t="s">
        <v>14</v>
      </c>
      <c r="I23" s="4" t="s">
        <v>11</v>
      </c>
      <c r="J23" s="4" t="s">
        <v>11</v>
      </c>
      <c r="K23" s="4" t="s">
        <v>11</v>
      </c>
      <c r="L23" s="9" t="s">
        <v>14</v>
      </c>
      <c r="M23" s="10">
        <v>4500</v>
      </c>
      <c r="N23" s="7"/>
    </row>
    <row r="24" spans="1:14" ht="21.75" customHeight="1" x14ac:dyDescent="0.25">
      <c r="A24" s="2">
        <v>21</v>
      </c>
      <c r="B24" s="3"/>
      <c r="C24" s="3"/>
      <c r="D24" s="4" t="s">
        <v>11</v>
      </c>
      <c r="E24" s="4" t="s">
        <v>11</v>
      </c>
      <c r="F24" s="4" t="s">
        <v>11</v>
      </c>
      <c r="G24" s="4" t="s">
        <v>11</v>
      </c>
      <c r="H24" s="4" t="s">
        <v>11</v>
      </c>
      <c r="I24" s="4" t="s">
        <v>11</v>
      </c>
      <c r="J24" s="4" t="s">
        <v>11</v>
      </c>
      <c r="K24" s="11" t="s">
        <v>27</v>
      </c>
      <c r="L24" s="4" t="s">
        <v>11</v>
      </c>
      <c r="M24" s="5">
        <v>8000</v>
      </c>
      <c r="N24" s="3"/>
    </row>
    <row r="25" spans="1:14" ht="21.75" customHeight="1" x14ac:dyDescent="0.25">
      <c r="A25" s="6">
        <v>22</v>
      </c>
      <c r="B25" s="7"/>
      <c r="C25" s="7"/>
      <c r="D25" s="9" t="s">
        <v>14</v>
      </c>
      <c r="E25" s="4" t="s">
        <v>11</v>
      </c>
      <c r="F25" s="4" t="s">
        <v>11</v>
      </c>
      <c r="G25" s="4" t="s">
        <v>11</v>
      </c>
      <c r="H25" s="9" t="s">
        <v>14</v>
      </c>
      <c r="I25" s="4" t="s">
        <v>11</v>
      </c>
      <c r="J25" s="9" t="s">
        <v>14</v>
      </c>
      <c r="K25" s="4" t="s">
        <v>11</v>
      </c>
      <c r="L25" s="9" t="s">
        <v>14</v>
      </c>
      <c r="M25" s="10">
        <v>9500</v>
      </c>
      <c r="N25" s="7"/>
    </row>
    <row r="26" spans="1:14" ht="21.75" customHeight="1" x14ac:dyDescent="0.25">
      <c r="A26" s="2">
        <v>23</v>
      </c>
      <c r="B26" s="3"/>
      <c r="C26" s="3"/>
      <c r="D26" s="8" t="s">
        <v>13</v>
      </c>
      <c r="E26" s="9" t="s">
        <v>14</v>
      </c>
      <c r="F26" s="4" t="s">
        <v>11</v>
      </c>
      <c r="G26" s="4" t="s">
        <v>11</v>
      </c>
      <c r="H26" s="4" t="s">
        <v>11</v>
      </c>
      <c r="I26" s="9" t="s">
        <v>14</v>
      </c>
      <c r="J26" s="4" t="s">
        <v>11</v>
      </c>
      <c r="K26" s="4" t="s">
        <v>11</v>
      </c>
      <c r="L26" s="8" t="s">
        <v>13</v>
      </c>
      <c r="M26" s="5">
        <v>6000</v>
      </c>
      <c r="N26" s="3"/>
    </row>
    <row r="27" spans="1:14" ht="21.75" customHeight="1" x14ac:dyDescent="0.25">
      <c r="A27" s="6">
        <v>24</v>
      </c>
      <c r="B27" s="7"/>
      <c r="C27" s="7"/>
      <c r="D27" s="4" t="s">
        <v>11</v>
      </c>
      <c r="E27" s="4" t="s">
        <v>11</v>
      </c>
      <c r="F27" s="9" t="s">
        <v>14</v>
      </c>
      <c r="G27" s="4" t="s">
        <v>11</v>
      </c>
      <c r="H27" s="9" t="s">
        <v>14</v>
      </c>
      <c r="I27" s="4" t="s">
        <v>11</v>
      </c>
      <c r="J27" s="4" t="s">
        <v>11</v>
      </c>
      <c r="K27" s="4" t="s">
        <v>11</v>
      </c>
      <c r="L27" s="9" t="s">
        <v>14</v>
      </c>
      <c r="M27" s="10">
        <v>4500</v>
      </c>
      <c r="N27" s="7"/>
    </row>
    <row r="28" spans="1:14" ht="21.75" customHeight="1" x14ac:dyDescent="0.25">
      <c r="A28" s="2">
        <v>25</v>
      </c>
      <c r="B28" s="3"/>
      <c r="C28" s="3"/>
      <c r="D28" s="4" t="s">
        <v>11</v>
      </c>
      <c r="E28" s="4" t="s">
        <v>11</v>
      </c>
      <c r="F28" s="4" t="s">
        <v>11</v>
      </c>
      <c r="G28" s="4" t="s">
        <v>11</v>
      </c>
      <c r="H28" s="4" t="s">
        <v>11</v>
      </c>
      <c r="I28" s="4" t="s">
        <v>11</v>
      </c>
      <c r="J28" s="4" t="s">
        <v>11</v>
      </c>
      <c r="K28" s="11" t="s">
        <v>27</v>
      </c>
      <c r="L28" s="4" t="s">
        <v>11</v>
      </c>
      <c r="M28" s="5">
        <v>8000</v>
      </c>
      <c r="N28" s="3"/>
    </row>
    <row r="29" spans="1:14" ht="21.75" customHeight="1" x14ac:dyDescent="0.25">
      <c r="A29" s="6">
        <v>26</v>
      </c>
      <c r="B29" s="7"/>
      <c r="C29" s="7"/>
      <c r="D29" s="9" t="s">
        <v>14</v>
      </c>
      <c r="E29" s="4" t="s">
        <v>11</v>
      </c>
      <c r="F29" s="4" t="s">
        <v>11</v>
      </c>
      <c r="G29" s="4" t="s">
        <v>11</v>
      </c>
      <c r="H29" s="9" t="s">
        <v>14</v>
      </c>
      <c r="I29" s="4" t="s">
        <v>11</v>
      </c>
      <c r="J29" s="9" t="s">
        <v>14</v>
      </c>
      <c r="K29" s="4" t="s">
        <v>11</v>
      </c>
      <c r="L29" s="9" t="s">
        <v>14</v>
      </c>
      <c r="M29" s="10">
        <v>9500</v>
      </c>
      <c r="N29" s="7"/>
    </row>
    <row r="30" spans="1:14" ht="21.75" customHeight="1" x14ac:dyDescent="0.25">
      <c r="A30" s="2">
        <v>27</v>
      </c>
      <c r="B30" s="3"/>
      <c r="C30" s="3"/>
      <c r="D30" s="8" t="s">
        <v>13</v>
      </c>
      <c r="E30" s="9" t="s">
        <v>14</v>
      </c>
      <c r="F30" s="4" t="s">
        <v>11</v>
      </c>
      <c r="G30" s="4" t="s">
        <v>11</v>
      </c>
      <c r="H30" s="4" t="s">
        <v>11</v>
      </c>
      <c r="I30" s="9" t="s">
        <v>14</v>
      </c>
      <c r="J30" s="4" t="s">
        <v>11</v>
      </c>
      <c r="K30" s="4" t="s">
        <v>11</v>
      </c>
      <c r="L30" s="8" t="s">
        <v>13</v>
      </c>
      <c r="M30" s="5">
        <v>6000</v>
      </c>
      <c r="N30" s="3"/>
    </row>
    <row r="31" spans="1:14" ht="21.75" customHeight="1" x14ac:dyDescent="0.25">
      <c r="A31" s="6">
        <v>28</v>
      </c>
      <c r="B31" s="7"/>
      <c r="C31" s="7"/>
      <c r="D31" s="4" t="s">
        <v>11</v>
      </c>
      <c r="E31" s="4" t="s">
        <v>11</v>
      </c>
      <c r="F31" s="9" t="s">
        <v>14</v>
      </c>
      <c r="G31" s="4" t="s">
        <v>11</v>
      </c>
      <c r="H31" s="9" t="s">
        <v>14</v>
      </c>
      <c r="I31" s="4" t="s">
        <v>11</v>
      </c>
      <c r="J31" s="4" t="s">
        <v>11</v>
      </c>
      <c r="K31" s="4" t="s">
        <v>11</v>
      </c>
      <c r="L31" s="9" t="s">
        <v>14</v>
      </c>
      <c r="M31" s="10">
        <v>4500</v>
      </c>
      <c r="N31" s="7"/>
    </row>
    <row r="32" spans="1:14" ht="21.75" customHeight="1" x14ac:dyDescent="0.25">
      <c r="A32" s="2">
        <v>29</v>
      </c>
      <c r="B32" s="3"/>
      <c r="C32" s="3"/>
      <c r="D32" s="4" t="s">
        <v>11</v>
      </c>
      <c r="E32" s="4" t="s">
        <v>11</v>
      </c>
      <c r="F32" s="4" t="s">
        <v>11</v>
      </c>
      <c r="G32" s="4" t="s">
        <v>11</v>
      </c>
      <c r="H32" s="4" t="s">
        <v>11</v>
      </c>
      <c r="I32" s="4" t="s">
        <v>11</v>
      </c>
      <c r="J32" s="4" t="s">
        <v>11</v>
      </c>
      <c r="K32" s="11" t="s">
        <v>27</v>
      </c>
      <c r="L32" s="4" t="s">
        <v>11</v>
      </c>
      <c r="M32" s="5">
        <v>8000</v>
      </c>
      <c r="N32" s="3"/>
    </row>
    <row r="33" spans="1:14" ht="21.75" customHeight="1" x14ac:dyDescent="0.25">
      <c r="A33" s="6">
        <v>30</v>
      </c>
      <c r="B33" s="7"/>
      <c r="C33" s="7"/>
      <c r="D33" s="9" t="s">
        <v>14</v>
      </c>
      <c r="E33" s="4" t="s">
        <v>11</v>
      </c>
      <c r="F33" s="4" t="s">
        <v>11</v>
      </c>
      <c r="G33" s="4" t="s">
        <v>11</v>
      </c>
      <c r="H33" s="9" t="s">
        <v>14</v>
      </c>
      <c r="I33" s="4" t="s">
        <v>11</v>
      </c>
      <c r="J33" s="9" t="s">
        <v>14</v>
      </c>
      <c r="K33" s="4" t="s">
        <v>11</v>
      </c>
      <c r="L33" s="9" t="s">
        <v>14</v>
      </c>
      <c r="M33" s="10">
        <v>9500</v>
      </c>
      <c r="N33" s="7"/>
    </row>
    <row r="34" spans="1:14" ht="21.75" customHeight="1" x14ac:dyDescent="0.25">
      <c r="A34" s="2">
        <v>31</v>
      </c>
      <c r="B34" s="3"/>
      <c r="C34" s="3"/>
      <c r="D34" s="8" t="s">
        <v>13</v>
      </c>
      <c r="E34" s="9" t="s">
        <v>14</v>
      </c>
      <c r="F34" s="4" t="s">
        <v>11</v>
      </c>
      <c r="G34" s="4" t="s">
        <v>11</v>
      </c>
      <c r="H34" s="4" t="s">
        <v>11</v>
      </c>
      <c r="I34" s="9" t="s">
        <v>14</v>
      </c>
      <c r="J34" s="4" t="s">
        <v>11</v>
      </c>
      <c r="K34" s="4" t="s">
        <v>11</v>
      </c>
      <c r="L34" s="8" t="s">
        <v>13</v>
      </c>
      <c r="M34" s="5">
        <v>6000</v>
      </c>
      <c r="N34" s="3"/>
    </row>
    <row r="35" spans="1:14" ht="21.75" customHeight="1" x14ac:dyDescent="0.25">
      <c r="A35" s="6">
        <v>32</v>
      </c>
      <c r="B35" s="7"/>
      <c r="C35" s="7"/>
      <c r="D35" s="4" t="s">
        <v>11</v>
      </c>
      <c r="E35" s="4" t="s">
        <v>11</v>
      </c>
      <c r="F35" s="9" t="s">
        <v>14</v>
      </c>
      <c r="G35" s="4" t="s">
        <v>11</v>
      </c>
      <c r="H35" s="9" t="s">
        <v>14</v>
      </c>
      <c r="I35" s="4" t="s">
        <v>11</v>
      </c>
      <c r="J35" s="4" t="s">
        <v>11</v>
      </c>
      <c r="K35" s="4" t="s">
        <v>11</v>
      </c>
      <c r="L35" s="9" t="s">
        <v>14</v>
      </c>
      <c r="M35" s="10">
        <v>4500</v>
      </c>
      <c r="N35" s="7"/>
    </row>
    <row r="36" spans="1:14" ht="21" customHeight="1" x14ac:dyDescent="0.25">
      <c r="A36" s="2">
        <v>33</v>
      </c>
      <c r="B36" s="3"/>
      <c r="C36" s="3"/>
      <c r="D36" s="4" t="s">
        <v>11</v>
      </c>
      <c r="E36" s="4" t="s">
        <v>11</v>
      </c>
      <c r="F36" s="4" t="s">
        <v>11</v>
      </c>
      <c r="G36" s="4" t="s">
        <v>11</v>
      </c>
      <c r="H36" s="4" t="s">
        <v>11</v>
      </c>
      <c r="I36" s="4" t="s">
        <v>11</v>
      </c>
      <c r="J36" s="4" t="s">
        <v>11</v>
      </c>
      <c r="K36" s="11" t="s">
        <v>27</v>
      </c>
      <c r="L36" s="4" t="s">
        <v>11</v>
      </c>
      <c r="M36" s="5">
        <v>8000</v>
      </c>
      <c r="N36" s="3"/>
    </row>
    <row r="37" spans="1:14" ht="21.75" customHeight="1" x14ac:dyDescent="0.25">
      <c r="A37" s="6">
        <v>34</v>
      </c>
      <c r="B37" s="7"/>
      <c r="C37" s="7"/>
      <c r="D37" s="9" t="s">
        <v>14</v>
      </c>
      <c r="E37" s="4" t="s">
        <v>11</v>
      </c>
      <c r="F37" s="4" t="s">
        <v>11</v>
      </c>
      <c r="G37" s="4" t="s">
        <v>11</v>
      </c>
      <c r="H37" s="9" t="s">
        <v>14</v>
      </c>
      <c r="I37" s="4" t="s">
        <v>11</v>
      </c>
      <c r="J37" s="9" t="s">
        <v>14</v>
      </c>
      <c r="K37" s="4" t="s">
        <v>11</v>
      </c>
      <c r="L37" s="9" t="s">
        <v>14</v>
      </c>
      <c r="M37" s="10">
        <v>9500</v>
      </c>
      <c r="N37" s="7"/>
    </row>
    <row r="38" spans="1:14" ht="21.75" customHeight="1" x14ac:dyDescent="0.25">
      <c r="A38" s="2">
        <v>35</v>
      </c>
      <c r="B38" s="3"/>
      <c r="C38" s="3"/>
      <c r="D38" s="8" t="s">
        <v>13</v>
      </c>
      <c r="E38" s="9" t="s">
        <v>14</v>
      </c>
      <c r="F38" s="4" t="s">
        <v>11</v>
      </c>
      <c r="G38" s="4" t="s">
        <v>11</v>
      </c>
      <c r="H38" s="4" t="s">
        <v>11</v>
      </c>
      <c r="I38" s="9" t="s">
        <v>14</v>
      </c>
      <c r="J38" s="4" t="s">
        <v>11</v>
      </c>
      <c r="K38" s="4" t="s">
        <v>11</v>
      </c>
      <c r="L38" s="8" t="s">
        <v>13</v>
      </c>
      <c r="M38" s="5">
        <v>6000</v>
      </c>
      <c r="N38" s="3"/>
    </row>
    <row r="39" spans="1:14" ht="21.75" customHeight="1" x14ac:dyDescent="0.25">
      <c r="A39" s="6">
        <v>36</v>
      </c>
      <c r="B39" s="7"/>
      <c r="C39" s="7"/>
      <c r="D39" s="4" t="s">
        <v>11</v>
      </c>
      <c r="E39" s="4" t="s">
        <v>11</v>
      </c>
      <c r="F39" s="9" t="s">
        <v>14</v>
      </c>
      <c r="G39" s="4" t="s">
        <v>11</v>
      </c>
      <c r="H39" s="9" t="s">
        <v>14</v>
      </c>
      <c r="I39" s="4" t="s">
        <v>11</v>
      </c>
      <c r="J39" s="4" t="s">
        <v>11</v>
      </c>
      <c r="K39" s="4" t="s">
        <v>11</v>
      </c>
      <c r="L39" s="9" t="s">
        <v>14</v>
      </c>
      <c r="M39" s="10">
        <v>4500</v>
      </c>
      <c r="N39" s="7"/>
    </row>
    <row r="40" spans="1:14" ht="21.75" customHeight="1" x14ac:dyDescent="0.25">
      <c r="A40" s="2">
        <v>37</v>
      </c>
      <c r="B40" s="3"/>
      <c r="C40" s="3"/>
      <c r="D40" s="4" t="s">
        <v>11</v>
      </c>
      <c r="E40" s="4" t="s">
        <v>11</v>
      </c>
      <c r="F40" s="4" t="s">
        <v>11</v>
      </c>
      <c r="G40" s="4" t="s">
        <v>11</v>
      </c>
      <c r="H40" s="4" t="s">
        <v>11</v>
      </c>
      <c r="I40" s="4" t="s">
        <v>11</v>
      </c>
      <c r="J40" s="4" t="s">
        <v>11</v>
      </c>
      <c r="K40" s="11" t="s">
        <v>27</v>
      </c>
      <c r="L40" s="4" t="s">
        <v>11</v>
      </c>
      <c r="M40" s="5">
        <v>8000</v>
      </c>
      <c r="N40" s="3"/>
    </row>
    <row r="41" spans="1:14" ht="21.75" customHeight="1" x14ac:dyDescent="0.25">
      <c r="A41" s="6">
        <v>38</v>
      </c>
      <c r="B41" s="7"/>
      <c r="C41" s="7"/>
      <c r="D41" s="9" t="s">
        <v>14</v>
      </c>
      <c r="E41" s="4" t="s">
        <v>11</v>
      </c>
      <c r="F41" s="4" t="s">
        <v>11</v>
      </c>
      <c r="G41" s="4" t="s">
        <v>11</v>
      </c>
      <c r="H41" s="9" t="s">
        <v>14</v>
      </c>
      <c r="I41" s="4" t="s">
        <v>11</v>
      </c>
      <c r="J41" s="9" t="s">
        <v>14</v>
      </c>
      <c r="K41" s="4" t="s">
        <v>11</v>
      </c>
      <c r="L41" s="9" t="s">
        <v>14</v>
      </c>
      <c r="M41" s="10">
        <v>9500</v>
      </c>
      <c r="N41" s="7"/>
    </row>
    <row r="42" spans="1:14" ht="21.75" customHeight="1" x14ac:dyDescent="0.25">
      <c r="A42" s="2">
        <v>39</v>
      </c>
      <c r="B42" s="3"/>
      <c r="C42" s="3"/>
      <c r="D42" s="8" t="s">
        <v>13</v>
      </c>
      <c r="E42" s="9" t="s">
        <v>14</v>
      </c>
      <c r="F42" s="4" t="s">
        <v>11</v>
      </c>
      <c r="G42" s="4" t="s">
        <v>11</v>
      </c>
      <c r="H42" s="4" t="s">
        <v>11</v>
      </c>
      <c r="I42" s="9" t="s">
        <v>14</v>
      </c>
      <c r="J42" s="4" t="s">
        <v>11</v>
      </c>
      <c r="K42" s="4" t="s">
        <v>11</v>
      </c>
      <c r="L42" s="8" t="s">
        <v>13</v>
      </c>
      <c r="M42" s="5">
        <v>6000</v>
      </c>
      <c r="N42" s="3"/>
    </row>
    <row r="43" spans="1:14" ht="21.75" customHeight="1" x14ac:dyDescent="0.25">
      <c r="A43" s="6">
        <v>40</v>
      </c>
      <c r="B43" s="7"/>
      <c r="C43" s="7"/>
      <c r="D43" s="4" t="s">
        <v>11</v>
      </c>
      <c r="E43" s="4" t="s">
        <v>11</v>
      </c>
      <c r="F43" s="9" t="s">
        <v>14</v>
      </c>
      <c r="G43" s="4" t="s">
        <v>11</v>
      </c>
      <c r="H43" s="9" t="s">
        <v>14</v>
      </c>
      <c r="I43" s="4" t="s">
        <v>11</v>
      </c>
      <c r="J43" s="4" t="s">
        <v>11</v>
      </c>
      <c r="K43" s="4" t="s">
        <v>11</v>
      </c>
      <c r="L43" s="9" t="s">
        <v>14</v>
      </c>
      <c r="M43" s="10">
        <v>4500</v>
      </c>
      <c r="N43" s="7"/>
    </row>
    <row r="44" spans="1:14" ht="21.75" customHeight="1" x14ac:dyDescent="0.25">
      <c r="A44" s="2">
        <v>41</v>
      </c>
      <c r="B44" s="3"/>
      <c r="C44" s="3"/>
      <c r="D44" s="4" t="s">
        <v>11</v>
      </c>
      <c r="E44" s="4" t="s">
        <v>11</v>
      </c>
      <c r="F44" s="4" t="s">
        <v>11</v>
      </c>
      <c r="G44" s="4" t="s">
        <v>11</v>
      </c>
      <c r="H44" s="4" t="s">
        <v>11</v>
      </c>
      <c r="I44" s="4" t="s">
        <v>11</v>
      </c>
      <c r="J44" s="4" t="s">
        <v>11</v>
      </c>
      <c r="K44" s="11" t="s">
        <v>27</v>
      </c>
      <c r="L44" s="4" t="s">
        <v>11</v>
      </c>
      <c r="M44" s="5">
        <v>8000</v>
      </c>
      <c r="N44" s="3"/>
    </row>
    <row r="45" spans="1:14" ht="21.75" customHeight="1" x14ac:dyDescent="0.25">
      <c r="A45" s="6">
        <v>42</v>
      </c>
      <c r="B45" s="7"/>
      <c r="C45" s="7"/>
      <c r="D45" s="9" t="s">
        <v>14</v>
      </c>
      <c r="E45" s="4" t="s">
        <v>11</v>
      </c>
      <c r="F45" s="4" t="s">
        <v>11</v>
      </c>
      <c r="G45" s="4" t="s">
        <v>11</v>
      </c>
      <c r="H45" s="9" t="s">
        <v>14</v>
      </c>
      <c r="I45" s="4" t="s">
        <v>11</v>
      </c>
      <c r="J45" s="9" t="s">
        <v>14</v>
      </c>
      <c r="K45" s="4" t="s">
        <v>11</v>
      </c>
      <c r="L45" s="9" t="s">
        <v>14</v>
      </c>
      <c r="M45" s="10">
        <v>9500</v>
      </c>
      <c r="N45" s="7"/>
    </row>
    <row r="46" spans="1:14" ht="21.75" customHeight="1" x14ac:dyDescent="0.25">
      <c r="A46" s="2">
        <v>43</v>
      </c>
      <c r="B46" s="3"/>
      <c r="C46" s="3"/>
      <c r="D46" s="8" t="s">
        <v>13</v>
      </c>
      <c r="E46" s="9" t="s">
        <v>14</v>
      </c>
      <c r="F46" s="4" t="s">
        <v>11</v>
      </c>
      <c r="G46" s="4" t="s">
        <v>11</v>
      </c>
      <c r="H46" s="4" t="s">
        <v>11</v>
      </c>
      <c r="I46" s="9" t="s">
        <v>14</v>
      </c>
      <c r="J46" s="4" t="s">
        <v>11</v>
      </c>
      <c r="K46" s="4" t="s">
        <v>11</v>
      </c>
      <c r="L46" s="8" t="s">
        <v>13</v>
      </c>
      <c r="M46" s="5">
        <v>6000</v>
      </c>
      <c r="N46" s="3"/>
    </row>
    <row r="47" spans="1:14" ht="21.75" customHeight="1" x14ac:dyDescent="0.25">
      <c r="A47" s="6">
        <v>44</v>
      </c>
      <c r="B47" s="7"/>
      <c r="C47" s="7"/>
      <c r="D47" s="4" t="s">
        <v>11</v>
      </c>
      <c r="E47" s="4" t="s">
        <v>11</v>
      </c>
      <c r="F47" s="9" t="s">
        <v>14</v>
      </c>
      <c r="G47" s="4" t="s">
        <v>11</v>
      </c>
      <c r="H47" s="9" t="s">
        <v>14</v>
      </c>
      <c r="I47" s="4" t="s">
        <v>11</v>
      </c>
      <c r="J47" s="4" t="s">
        <v>11</v>
      </c>
      <c r="K47" s="4" t="s">
        <v>11</v>
      </c>
      <c r="L47" s="9" t="s">
        <v>14</v>
      </c>
      <c r="M47" s="10">
        <v>4500</v>
      </c>
      <c r="N47" s="7"/>
    </row>
    <row r="48" spans="1:14" ht="21.75" customHeight="1" x14ac:dyDescent="0.25">
      <c r="A48" s="2">
        <v>45</v>
      </c>
      <c r="B48" s="3"/>
      <c r="C48" s="3"/>
      <c r="D48" s="4" t="s">
        <v>11</v>
      </c>
      <c r="E48" s="4" t="s">
        <v>11</v>
      </c>
      <c r="F48" s="4" t="s">
        <v>11</v>
      </c>
      <c r="G48" s="4" t="s">
        <v>11</v>
      </c>
      <c r="H48" s="4" t="s">
        <v>11</v>
      </c>
      <c r="I48" s="4" t="s">
        <v>11</v>
      </c>
      <c r="J48" s="4" t="s">
        <v>11</v>
      </c>
      <c r="K48" s="11" t="s">
        <v>27</v>
      </c>
      <c r="L48" s="4" t="s">
        <v>11</v>
      </c>
      <c r="M48" s="5">
        <v>8000</v>
      </c>
      <c r="N48" s="3"/>
    </row>
    <row r="49" spans="1:14" ht="21.75" customHeight="1" x14ac:dyDescent="0.25">
      <c r="A49" s="6">
        <v>46</v>
      </c>
      <c r="B49" s="7"/>
      <c r="C49" s="7"/>
      <c r="D49" s="9" t="s">
        <v>14</v>
      </c>
      <c r="E49" s="4" t="s">
        <v>11</v>
      </c>
      <c r="F49" s="4" t="s">
        <v>11</v>
      </c>
      <c r="G49" s="4" t="s">
        <v>11</v>
      </c>
      <c r="H49" s="9" t="s">
        <v>14</v>
      </c>
      <c r="I49" s="4" t="s">
        <v>11</v>
      </c>
      <c r="J49" s="9" t="s">
        <v>14</v>
      </c>
      <c r="K49" s="4" t="s">
        <v>11</v>
      </c>
      <c r="L49" s="9" t="s">
        <v>14</v>
      </c>
      <c r="M49" s="10">
        <v>9500</v>
      </c>
      <c r="N49" s="7"/>
    </row>
    <row r="50" spans="1:14" ht="21.75" customHeight="1" x14ac:dyDescent="0.25">
      <c r="A50" s="2">
        <v>47</v>
      </c>
      <c r="B50" s="3"/>
      <c r="C50" s="3"/>
      <c r="D50" s="8" t="s">
        <v>13</v>
      </c>
      <c r="E50" s="9" t="s">
        <v>14</v>
      </c>
      <c r="F50" s="4" t="s">
        <v>11</v>
      </c>
      <c r="G50" s="4" t="s">
        <v>11</v>
      </c>
      <c r="H50" s="4" t="s">
        <v>11</v>
      </c>
      <c r="I50" s="9" t="s">
        <v>14</v>
      </c>
      <c r="J50" s="4" t="s">
        <v>11</v>
      </c>
      <c r="K50" s="4" t="s">
        <v>11</v>
      </c>
      <c r="L50" s="8" t="s">
        <v>13</v>
      </c>
      <c r="M50" s="5">
        <v>6000</v>
      </c>
      <c r="N50" s="3"/>
    </row>
    <row r="51" spans="1:14" ht="21.75" customHeight="1" x14ac:dyDescent="0.25">
      <c r="A51" s="6">
        <v>48</v>
      </c>
      <c r="B51" s="7"/>
      <c r="C51" s="7"/>
      <c r="D51" s="4" t="s">
        <v>11</v>
      </c>
      <c r="E51" s="4" t="s">
        <v>11</v>
      </c>
      <c r="F51" s="9" t="s">
        <v>14</v>
      </c>
      <c r="G51" s="4" t="s">
        <v>11</v>
      </c>
      <c r="H51" s="9" t="s">
        <v>14</v>
      </c>
      <c r="I51" s="4" t="s">
        <v>11</v>
      </c>
      <c r="J51" s="4" t="s">
        <v>11</v>
      </c>
      <c r="K51" s="4" t="s">
        <v>11</v>
      </c>
      <c r="L51" s="9" t="s">
        <v>14</v>
      </c>
      <c r="M51" s="10">
        <v>4500</v>
      </c>
      <c r="N51" s="7"/>
    </row>
    <row r="52" spans="1:14" ht="21.75" customHeight="1" x14ac:dyDescent="0.25">
      <c r="A52" s="2">
        <v>49</v>
      </c>
      <c r="B52" s="3"/>
      <c r="C52" s="3"/>
      <c r="D52" s="4" t="s">
        <v>11</v>
      </c>
      <c r="E52" s="4" t="s">
        <v>11</v>
      </c>
      <c r="F52" s="4" t="s">
        <v>11</v>
      </c>
      <c r="G52" s="4" t="s">
        <v>11</v>
      </c>
      <c r="H52" s="4" t="s">
        <v>11</v>
      </c>
      <c r="I52" s="4" t="s">
        <v>11</v>
      </c>
      <c r="J52" s="4" t="s">
        <v>11</v>
      </c>
      <c r="K52" s="11" t="s">
        <v>27</v>
      </c>
      <c r="L52" s="4" t="s">
        <v>11</v>
      </c>
      <c r="M52" s="5">
        <v>8000</v>
      </c>
      <c r="N52" s="3"/>
    </row>
    <row r="53" spans="1:14" ht="21.75" customHeight="1" x14ac:dyDescent="0.25">
      <c r="A53" s="6">
        <v>50</v>
      </c>
      <c r="B53" s="7"/>
      <c r="C53" s="7"/>
      <c r="D53" s="9" t="s">
        <v>14</v>
      </c>
      <c r="E53" s="4" t="s">
        <v>11</v>
      </c>
      <c r="F53" s="4" t="s">
        <v>11</v>
      </c>
      <c r="G53" s="4" t="s">
        <v>11</v>
      </c>
      <c r="H53" s="9" t="s">
        <v>14</v>
      </c>
      <c r="I53" s="4" t="s">
        <v>11</v>
      </c>
      <c r="J53" s="9" t="s">
        <v>14</v>
      </c>
      <c r="K53" s="4" t="s">
        <v>11</v>
      </c>
      <c r="L53" s="9" t="s">
        <v>14</v>
      </c>
      <c r="M53" s="10">
        <v>9500</v>
      </c>
      <c r="N53" s="7"/>
    </row>
    <row r="54" spans="1:14" ht="21.75" customHeight="1" x14ac:dyDescent="0.25">
      <c r="A54" s="2">
        <v>51</v>
      </c>
      <c r="B54" s="3"/>
      <c r="C54" s="3"/>
      <c r="D54" s="8" t="s">
        <v>13</v>
      </c>
      <c r="E54" s="9" t="s">
        <v>14</v>
      </c>
      <c r="F54" s="4" t="s">
        <v>11</v>
      </c>
      <c r="G54" s="4" t="s">
        <v>11</v>
      </c>
      <c r="H54" s="4" t="s">
        <v>11</v>
      </c>
      <c r="I54" s="9" t="s">
        <v>14</v>
      </c>
      <c r="J54" s="4" t="s">
        <v>11</v>
      </c>
      <c r="K54" s="4" t="s">
        <v>11</v>
      </c>
      <c r="L54" s="8" t="s">
        <v>13</v>
      </c>
      <c r="M54" s="5">
        <v>6000</v>
      </c>
      <c r="N54" s="3"/>
    </row>
    <row r="55" spans="1:14" ht="21.75" customHeight="1" x14ac:dyDescent="0.25">
      <c r="A55" s="6">
        <v>52</v>
      </c>
      <c r="B55" s="7"/>
      <c r="C55" s="7"/>
      <c r="D55" s="4" t="s">
        <v>11</v>
      </c>
      <c r="E55" s="4" t="s">
        <v>11</v>
      </c>
      <c r="F55" s="9" t="s">
        <v>14</v>
      </c>
      <c r="G55" s="4" t="s">
        <v>11</v>
      </c>
      <c r="H55" s="9" t="s">
        <v>14</v>
      </c>
      <c r="I55" s="4" t="s">
        <v>11</v>
      </c>
      <c r="J55" s="4" t="s">
        <v>11</v>
      </c>
      <c r="K55" s="4" t="s">
        <v>11</v>
      </c>
      <c r="L55" s="9" t="s">
        <v>14</v>
      </c>
      <c r="M55" s="10">
        <v>4500</v>
      </c>
      <c r="N55" s="7"/>
    </row>
    <row r="56" spans="1:14" ht="21.75" customHeight="1" x14ac:dyDescent="0.25">
      <c r="A56" s="2">
        <v>53</v>
      </c>
      <c r="B56" s="3"/>
      <c r="C56" s="3"/>
      <c r="D56" s="4" t="s">
        <v>11</v>
      </c>
      <c r="E56" s="4" t="s">
        <v>11</v>
      </c>
      <c r="F56" s="4" t="s">
        <v>11</v>
      </c>
      <c r="G56" s="4" t="s">
        <v>11</v>
      </c>
      <c r="H56" s="4" t="s">
        <v>11</v>
      </c>
      <c r="I56" s="4" t="s">
        <v>11</v>
      </c>
      <c r="J56" s="4" t="s">
        <v>11</v>
      </c>
      <c r="K56" s="11" t="s">
        <v>27</v>
      </c>
      <c r="L56" s="4" t="s">
        <v>11</v>
      </c>
      <c r="M56" s="5">
        <v>8000</v>
      </c>
      <c r="N56" s="3"/>
    </row>
    <row r="57" spans="1:14" ht="21.75" customHeight="1" x14ac:dyDescent="0.25">
      <c r="A57" s="6">
        <v>54</v>
      </c>
      <c r="B57" s="7"/>
      <c r="C57" s="7"/>
      <c r="D57" s="9" t="s">
        <v>14</v>
      </c>
      <c r="E57" s="4" t="s">
        <v>11</v>
      </c>
      <c r="F57" s="4" t="s">
        <v>11</v>
      </c>
      <c r="G57" s="4" t="s">
        <v>11</v>
      </c>
      <c r="H57" s="9" t="s">
        <v>14</v>
      </c>
      <c r="I57" s="4" t="s">
        <v>11</v>
      </c>
      <c r="J57" s="9" t="s">
        <v>14</v>
      </c>
      <c r="K57" s="4" t="s">
        <v>11</v>
      </c>
      <c r="L57" s="9" t="s">
        <v>14</v>
      </c>
      <c r="M57" s="10">
        <v>9500</v>
      </c>
      <c r="N57" s="7"/>
    </row>
    <row r="58" spans="1:14" ht="21.75" customHeight="1" x14ac:dyDescent="0.25">
      <c r="A58" s="2">
        <v>55</v>
      </c>
      <c r="B58" s="3"/>
      <c r="C58" s="3"/>
      <c r="D58" s="8" t="s">
        <v>13</v>
      </c>
      <c r="E58" s="9" t="s">
        <v>14</v>
      </c>
      <c r="F58" s="4" t="s">
        <v>11</v>
      </c>
      <c r="G58" s="4" t="s">
        <v>11</v>
      </c>
      <c r="H58" s="4" t="s">
        <v>11</v>
      </c>
      <c r="I58" s="9" t="s">
        <v>14</v>
      </c>
      <c r="J58" s="4" t="s">
        <v>11</v>
      </c>
      <c r="K58" s="4" t="s">
        <v>11</v>
      </c>
      <c r="L58" s="8" t="s">
        <v>13</v>
      </c>
      <c r="M58" s="5">
        <v>6000</v>
      </c>
      <c r="N58" s="3"/>
    </row>
    <row r="59" spans="1:14" ht="21.75" customHeight="1" x14ac:dyDescent="0.25">
      <c r="A59" s="6">
        <v>56</v>
      </c>
      <c r="B59" s="7"/>
      <c r="C59" s="7"/>
      <c r="D59" s="4" t="s">
        <v>11</v>
      </c>
      <c r="E59" s="4" t="s">
        <v>11</v>
      </c>
      <c r="F59" s="9" t="s">
        <v>14</v>
      </c>
      <c r="G59" s="4" t="s">
        <v>11</v>
      </c>
      <c r="H59" s="9" t="s">
        <v>14</v>
      </c>
      <c r="I59" s="4" t="s">
        <v>11</v>
      </c>
      <c r="J59" s="4" t="s">
        <v>11</v>
      </c>
      <c r="K59" s="4" t="s">
        <v>11</v>
      </c>
      <c r="L59" s="9" t="s">
        <v>14</v>
      </c>
      <c r="M59" s="10">
        <v>4500</v>
      </c>
      <c r="N59" s="7"/>
    </row>
    <row r="60" spans="1:14" ht="21.75" customHeight="1" x14ac:dyDescent="0.25">
      <c r="A60" s="2">
        <v>57</v>
      </c>
      <c r="B60" s="3"/>
      <c r="C60" s="3"/>
      <c r="D60" s="4" t="s">
        <v>11</v>
      </c>
      <c r="E60" s="4" t="s">
        <v>11</v>
      </c>
      <c r="F60" s="4" t="s">
        <v>11</v>
      </c>
      <c r="G60" s="4" t="s">
        <v>11</v>
      </c>
      <c r="H60" s="4" t="s">
        <v>11</v>
      </c>
      <c r="I60" s="4" t="s">
        <v>11</v>
      </c>
      <c r="J60" s="4" t="s">
        <v>11</v>
      </c>
      <c r="K60" s="11" t="s">
        <v>27</v>
      </c>
      <c r="L60" s="4" t="s">
        <v>11</v>
      </c>
      <c r="M60" s="5">
        <v>8000</v>
      </c>
      <c r="N60" s="3"/>
    </row>
    <row r="61" spans="1:14" ht="21.75" customHeight="1" x14ac:dyDescent="0.25">
      <c r="A61" s="6">
        <v>58</v>
      </c>
      <c r="B61" s="7"/>
      <c r="C61" s="7"/>
      <c r="D61" s="9" t="s">
        <v>14</v>
      </c>
      <c r="E61" s="4" t="s">
        <v>11</v>
      </c>
      <c r="F61" s="4" t="s">
        <v>11</v>
      </c>
      <c r="G61" s="4" t="s">
        <v>11</v>
      </c>
      <c r="H61" s="9" t="s">
        <v>14</v>
      </c>
      <c r="I61" s="4" t="s">
        <v>11</v>
      </c>
      <c r="J61" s="9" t="s">
        <v>14</v>
      </c>
      <c r="K61" s="4" t="s">
        <v>11</v>
      </c>
      <c r="L61" s="9" t="s">
        <v>14</v>
      </c>
      <c r="M61" s="10">
        <v>9500</v>
      </c>
      <c r="N61" s="7"/>
    </row>
    <row r="62" spans="1:14" ht="21.75" customHeight="1" x14ac:dyDescent="0.25">
      <c r="A62" s="2">
        <v>59</v>
      </c>
      <c r="B62" s="3"/>
      <c r="C62" s="3"/>
      <c r="D62" s="8" t="s">
        <v>13</v>
      </c>
      <c r="E62" s="9" t="s">
        <v>14</v>
      </c>
      <c r="F62" s="4" t="s">
        <v>11</v>
      </c>
      <c r="G62" s="4" t="s">
        <v>11</v>
      </c>
      <c r="H62" s="4" t="s">
        <v>11</v>
      </c>
      <c r="I62" s="9" t="s">
        <v>14</v>
      </c>
      <c r="J62" s="4" t="s">
        <v>11</v>
      </c>
      <c r="K62" s="4" t="s">
        <v>11</v>
      </c>
      <c r="L62" s="8" t="s">
        <v>13</v>
      </c>
      <c r="M62" s="5">
        <v>6000</v>
      </c>
      <c r="N62" s="3"/>
    </row>
    <row r="63" spans="1:14" ht="21.75" customHeight="1" x14ac:dyDescent="0.25">
      <c r="A63" s="6">
        <v>60</v>
      </c>
      <c r="B63" s="7"/>
      <c r="C63" s="7"/>
      <c r="D63" s="4" t="s">
        <v>11</v>
      </c>
      <c r="E63" s="4" t="s">
        <v>11</v>
      </c>
      <c r="F63" s="9" t="s">
        <v>14</v>
      </c>
      <c r="G63" s="4" t="s">
        <v>11</v>
      </c>
      <c r="H63" s="9" t="s">
        <v>14</v>
      </c>
      <c r="I63" s="4" t="s">
        <v>11</v>
      </c>
      <c r="J63" s="4" t="s">
        <v>11</v>
      </c>
      <c r="K63" s="4" t="s">
        <v>11</v>
      </c>
      <c r="L63" s="9" t="s">
        <v>14</v>
      </c>
      <c r="M63" s="10">
        <v>4500</v>
      </c>
      <c r="N63" s="7"/>
    </row>
    <row r="64" spans="1:14" ht="21.75" customHeight="1" x14ac:dyDescent="0.25">
      <c r="A64" s="2">
        <v>61</v>
      </c>
      <c r="B64" s="3"/>
      <c r="C64" s="3"/>
      <c r="D64" s="4" t="s">
        <v>11</v>
      </c>
      <c r="E64" s="4" t="s">
        <v>11</v>
      </c>
      <c r="F64" s="4" t="s">
        <v>11</v>
      </c>
      <c r="G64" s="4" t="s">
        <v>11</v>
      </c>
      <c r="H64" s="4" t="s">
        <v>11</v>
      </c>
      <c r="I64" s="4" t="s">
        <v>11</v>
      </c>
      <c r="J64" s="4" t="s">
        <v>11</v>
      </c>
      <c r="K64" s="11" t="s">
        <v>27</v>
      </c>
      <c r="L64" s="4" t="s">
        <v>11</v>
      </c>
      <c r="M64" s="5">
        <v>8000</v>
      </c>
      <c r="N64" s="3"/>
    </row>
    <row r="65" spans="1:14" ht="21.75" customHeight="1" x14ac:dyDescent="0.25">
      <c r="A65" s="6">
        <v>62</v>
      </c>
      <c r="B65" s="7"/>
      <c r="C65" s="7"/>
      <c r="D65" s="9" t="s">
        <v>14</v>
      </c>
      <c r="E65" s="4" t="s">
        <v>11</v>
      </c>
      <c r="F65" s="4" t="s">
        <v>11</v>
      </c>
      <c r="G65" s="4" t="s">
        <v>11</v>
      </c>
      <c r="H65" s="9" t="s">
        <v>14</v>
      </c>
      <c r="I65" s="4" t="s">
        <v>11</v>
      </c>
      <c r="J65" s="9" t="s">
        <v>14</v>
      </c>
      <c r="K65" s="4" t="s">
        <v>11</v>
      </c>
      <c r="L65" s="9" t="s">
        <v>14</v>
      </c>
      <c r="M65" s="10">
        <v>9500</v>
      </c>
      <c r="N65" s="7"/>
    </row>
    <row r="66" spans="1:14" ht="21.75" customHeight="1" x14ac:dyDescent="0.25">
      <c r="A66" s="2">
        <v>63</v>
      </c>
      <c r="B66" s="3"/>
      <c r="C66" s="3"/>
      <c r="D66" s="8" t="s">
        <v>13</v>
      </c>
      <c r="E66" s="9" t="s">
        <v>14</v>
      </c>
      <c r="F66" s="4" t="s">
        <v>11</v>
      </c>
      <c r="G66" s="4" t="s">
        <v>11</v>
      </c>
      <c r="H66" s="4" t="s">
        <v>11</v>
      </c>
      <c r="I66" s="9" t="s">
        <v>14</v>
      </c>
      <c r="J66" s="4" t="s">
        <v>11</v>
      </c>
      <c r="K66" s="4" t="s">
        <v>11</v>
      </c>
      <c r="L66" s="8" t="s">
        <v>13</v>
      </c>
      <c r="M66" s="5">
        <v>6000</v>
      </c>
      <c r="N66" s="3"/>
    </row>
    <row r="67" spans="1:14" ht="21.75" customHeight="1" x14ac:dyDescent="0.25">
      <c r="A67" s="6">
        <v>64</v>
      </c>
      <c r="B67" s="7"/>
      <c r="C67" s="7"/>
      <c r="D67" s="4" t="s">
        <v>11</v>
      </c>
      <c r="E67" s="4" t="s">
        <v>11</v>
      </c>
      <c r="F67" s="9" t="s">
        <v>14</v>
      </c>
      <c r="G67" s="4" t="s">
        <v>11</v>
      </c>
      <c r="H67" s="9" t="s">
        <v>14</v>
      </c>
      <c r="I67" s="4" t="s">
        <v>11</v>
      </c>
      <c r="J67" s="4" t="s">
        <v>11</v>
      </c>
      <c r="K67" s="4" t="s">
        <v>11</v>
      </c>
      <c r="L67" s="9" t="s">
        <v>14</v>
      </c>
      <c r="M67" s="10">
        <v>4500</v>
      </c>
      <c r="N67" s="7"/>
    </row>
    <row r="68" spans="1:14" ht="21" customHeight="1" x14ac:dyDescent="0.25">
      <c r="A68" s="2">
        <v>65</v>
      </c>
      <c r="B68" s="3"/>
      <c r="C68" s="3"/>
      <c r="D68" s="4" t="s">
        <v>11</v>
      </c>
      <c r="E68" s="4" t="s">
        <v>11</v>
      </c>
      <c r="F68" s="4" t="s">
        <v>11</v>
      </c>
      <c r="G68" s="4" t="s">
        <v>11</v>
      </c>
      <c r="H68" s="4" t="s">
        <v>11</v>
      </c>
      <c r="I68" s="4" t="s">
        <v>11</v>
      </c>
      <c r="J68" s="4" t="s">
        <v>11</v>
      </c>
      <c r="K68" s="11" t="s">
        <v>27</v>
      </c>
      <c r="L68" s="4" t="s">
        <v>11</v>
      </c>
      <c r="M68" s="5">
        <v>8000</v>
      </c>
      <c r="N68" s="3"/>
    </row>
    <row r="69" spans="1:14" ht="24" customHeight="1" x14ac:dyDescent="0.25">
      <c r="A69" s="28" t="s">
        <v>20</v>
      </c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12">
        <f>SUM(M4:M8)</f>
        <v>42000</v>
      </c>
      <c r="N69" s="13"/>
    </row>
  </sheetData>
  <mergeCells count="3">
    <mergeCell ref="A1:N1"/>
    <mergeCell ref="A2:N2"/>
    <mergeCell ref="A69:L69"/>
  </mergeCells>
  <dataValidations count="1">
    <dataValidation type="list" allowBlank="1" showInputMessage="1" showErrorMessage="1" errorTitle="Невірний стан" error="Оберіть значення зі списку" promptTitle="Стан компонента" prompt="Оберіть: ✅ Хорошее / ⚠️ Среднее / ❌ Плохое / 🔧 На ремонт / ❌ Нет" sqref="D4:L68" xr:uid="{00000000-0002-0000-0100-000000000000}">
      <formula1>"✅ Хорошее,⚠️ Среднее,❌ Плохое,🔧 На ремонт,❌ Нет"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6A085"/>
  </sheetPr>
  <dimension ref="A1:I48"/>
  <sheetViews>
    <sheetView showGridLines="0" tabSelected="1" zoomScale="235" zoomScaleNormal="235" workbookViewId="0">
      <pane ySplit="3" topLeftCell="A13" activePane="bottomLeft" state="frozen"/>
      <selection pane="bottomLeft" activeCell="B16" sqref="B16"/>
    </sheetView>
  </sheetViews>
  <sheetFormatPr defaultColWidth="8.7109375" defaultRowHeight="15" x14ac:dyDescent="0.25"/>
  <cols>
    <col min="1" max="1" width="5" customWidth="1"/>
    <col min="2" max="2" width="28" customWidth="1"/>
    <col min="3" max="3" width="36.7109375" customWidth="1"/>
    <col min="4" max="7" width="20.7109375" customWidth="1"/>
    <col min="8" max="8" width="18" customWidth="1"/>
    <col min="9" max="9" width="22" customWidth="1"/>
  </cols>
  <sheetData>
    <row r="1" spans="1:9" ht="36" customHeight="1" x14ac:dyDescent="0.25">
      <c r="A1" s="26" t="s">
        <v>28</v>
      </c>
      <c r="B1" s="26"/>
      <c r="C1" s="26"/>
      <c r="D1" s="26"/>
      <c r="E1" s="26"/>
      <c r="F1" s="26"/>
      <c r="G1" s="26"/>
      <c r="H1" s="26"/>
      <c r="I1" s="26"/>
    </row>
    <row r="2" spans="1:9" ht="18" customHeight="1" x14ac:dyDescent="0.25">
      <c r="A2" s="27" t="str">
        <f ca="1">TEXT(TODAY(),"DD.MM.YYYY")</f>
        <v>12.05.YYYY</v>
      </c>
      <c r="B2" s="27"/>
      <c r="C2" s="27"/>
      <c r="D2" s="27"/>
      <c r="E2" s="27"/>
      <c r="F2" s="27"/>
      <c r="G2" s="27"/>
      <c r="H2" s="27"/>
      <c r="I2" s="27"/>
    </row>
    <row r="3" spans="1:9" ht="31.5" customHeight="1" thickBot="1" x14ac:dyDescent="0.3">
      <c r="A3" s="1" t="s">
        <v>1</v>
      </c>
      <c r="B3" s="1" t="s">
        <v>54</v>
      </c>
      <c r="C3" s="1" t="s">
        <v>53</v>
      </c>
      <c r="D3" s="1" t="s">
        <v>3</v>
      </c>
      <c r="E3" s="1" t="s">
        <v>22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9" ht="21.75" customHeight="1" x14ac:dyDescent="0.25">
      <c r="A4" s="2">
        <v>1</v>
      </c>
      <c r="B4" s="3" t="s">
        <v>57</v>
      </c>
      <c r="C4" s="3" t="s">
        <v>58</v>
      </c>
      <c r="D4" s="9" t="s">
        <v>14</v>
      </c>
      <c r="E4" s="8" t="s">
        <v>13</v>
      </c>
      <c r="F4" s="4" t="s">
        <v>11</v>
      </c>
      <c r="G4" s="11" t="s">
        <v>27</v>
      </c>
      <c r="H4" s="5">
        <v>20</v>
      </c>
      <c r="I4" s="3"/>
    </row>
    <row r="5" spans="1:9" ht="21.75" customHeight="1" x14ac:dyDescent="0.25">
      <c r="A5" s="6">
        <v>2</v>
      </c>
      <c r="B5" s="7" t="s">
        <v>63</v>
      </c>
      <c r="C5" s="7" t="s">
        <v>64</v>
      </c>
      <c r="D5" s="9" t="s">
        <v>14</v>
      </c>
      <c r="E5" s="4" t="s">
        <v>13</v>
      </c>
      <c r="F5" s="4" t="s">
        <v>11</v>
      </c>
      <c r="G5" s="11" t="s">
        <v>17</v>
      </c>
      <c r="H5" s="10">
        <v>40</v>
      </c>
      <c r="I5" s="7" t="s">
        <v>66</v>
      </c>
    </row>
    <row r="6" spans="1:9" ht="21.75" customHeight="1" x14ac:dyDescent="0.25">
      <c r="A6" s="2">
        <v>3</v>
      </c>
      <c r="B6" s="3" t="s">
        <v>44</v>
      </c>
      <c r="C6" s="3" t="s">
        <v>65</v>
      </c>
      <c r="D6" s="4" t="s">
        <v>14</v>
      </c>
      <c r="E6" s="9" t="s">
        <v>14</v>
      </c>
      <c r="F6" s="4" t="s">
        <v>14</v>
      </c>
      <c r="G6" s="4" t="s">
        <v>17</v>
      </c>
      <c r="H6" s="5">
        <v>80</v>
      </c>
      <c r="I6" s="3"/>
    </row>
    <row r="7" spans="1:9" ht="21.75" customHeight="1" x14ac:dyDescent="0.25">
      <c r="A7" s="2">
        <v>4</v>
      </c>
      <c r="B7" s="7" t="s">
        <v>67</v>
      </c>
      <c r="C7" s="7" t="s">
        <v>68</v>
      </c>
      <c r="D7" s="8" t="s">
        <v>14</v>
      </c>
      <c r="E7" s="4" t="s">
        <v>13</v>
      </c>
      <c r="F7" s="11" t="s">
        <v>27</v>
      </c>
      <c r="G7" s="11" t="s">
        <v>27</v>
      </c>
      <c r="H7" s="10">
        <v>40</v>
      </c>
      <c r="I7" s="7"/>
    </row>
    <row r="8" spans="1:9" ht="21.75" customHeight="1" x14ac:dyDescent="0.25">
      <c r="A8" s="6">
        <v>5</v>
      </c>
      <c r="B8" s="3" t="s">
        <v>69</v>
      </c>
      <c r="C8" s="3" t="s">
        <v>70</v>
      </c>
      <c r="D8" s="4" t="s">
        <v>11</v>
      </c>
      <c r="E8" s="4" t="s">
        <v>61</v>
      </c>
      <c r="F8" s="4" t="s">
        <v>11</v>
      </c>
      <c r="G8" s="4" t="s">
        <v>11</v>
      </c>
      <c r="H8" s="5">
        <v>30</v>
      </c>
      <c r="I8" s="3"/>
    </row>
    <row r="9" spans="1:9" ht="21.75" customHeight="1" x14ac:dyDescent="0.25">
      <c r="A9" s="2">
        <v>6</v>
      </c>
      <c r="B9" s="7" t="s">
        <v>75</v>
      </c>
      <c r="C9" s="7" t="s">
        <v>79</v>
      </c>
      <c r="D9" s="8" t="s">
        <v>14</v>
      </c>
      <c r="E9" s="4" t="s">
        <v>11</v>
      </c>
      <c r="F9" s="11" t="s">
        <v>11</v>
      </c>
      <c r="G9" s="11" t="s">
        <v>14</v>
      </c>
      <c r="H9" s="10">
        <v>40</v>
      </c>
      <c r="I9" s="7" t="s">
        <v>73</v>
      </c>
    </row>
    <row r="10" spans="1:9" ht="21.75" customHeight="1" x14ac:dyDescent="0.25">
      <c r="A10" s="2">
        <v>7</v>
      </c>
      <c r="B10" s="3" t="s">
        <v>76</v>
      </c>
      <c r="C10" s="3" t="s">
        <v>77</v>
      </c>
      <c r="D10" s="4" t="s">
        <v>11</v>
      </c>
      <c r="E10" s="4" t="s">
        <v>11</v>
      </c>
      <c r="F10" s="4" t="s">
        <v>11</v>
      </c>
      <c r="G10" s="4" t="s">
        <v>11</v>
      </c>
      <c r="H10" s="5">
        <v>150</v>
      </c>
      <c r="I10" s="3" t="s">
        <v>78</v>
      </c>
    </row>
    <row r="11" spans="1:9" ht="21.75" customHeight="1" x14ac:dyDescent="0.25">
      <c r="A11" s="6">
        <v>8</v>
      </c>
      <c r="B11" s="7" t="s">
        <v>80</v>
      </c>
      <c r="C11" s="7" t="s">
        <v>81</v>
      </c>
      <c r="D11" s="8" t="s">
        <v>11</v>
      </c>
      <c r="E11" s="4" t="s">
        <v>11</v>
      </c>
      <c r="F11" s="11" t="s">
        <v>11</v>
      </c>
      <c r="G11" s="11" t="s">
        <v>11</v>
      </c>
      <c r="H11" s="10">
        <v>240</v>
      </c>
      <c r="I11" s="7" t="s">
        <v>82</v>
      </c>
    </row>
    <row r="12" spans="1:9" ht="21.75" customHeight="1" x14ac:dyDescent="0.25">
      <c r="A12" s="2">
        <v>9</v>
      </c>
      <c r="B12" s="3" t="s">
        <v>83</v>
      </c>
      <c r="C12" s="3" t="s">
        <v>84</v>
      </c>
      <c r="D12" s="4" t="s">
        <v>11</v>
      </c>
      <c r="E12" s="4" t="s">
        <v>61</v>
      </c>
      <c r="F12" s="4" t="s">
        <v>11</v>
      </c>
      <c r="G12" s="4" t="s">
        <v>17</v>
      </c>
      <c r="H12" s="5">
        <v>130</v>
      </c>
      <c r="I12" s="3"/>
    </row>
    <row r="13" spans="1:9" ht="21.75" customHeight="1" x14ac:dyDescent="0.25">
      <c r="A13" s="2">
        <v>10</v>
      </c>
      <c r="B13" s="7" t="s">
        <v>85</v>
      </c>
      <c r="C13" s="7" t="s">
        <v>86</v>
      </c>
      <c r="D13" s="8" t="s">
        <v>14</v>
      </c>
      <c r="E13" s="4" t="s">
        <v>13</v>
      </c>
      <c r="F13" s="11" t="s">
        <v>14</v>
      </c>
      <c r="G13" s="11" t="s">
        <v>27</v>
      </c>
      <c r="H13" s="10">
        <v>40</v>
      </c>
      <c r="I13" s="7"/>
    </row>
    <row r="14" spans="1:9" ht="21.75" customHeight="1" x14ac:dyDescent="0.25">
      <c r="A14" s="6">
        <v>11</v>
      </c>
      <c r="B14" s="3" t="s">
        <v>87</v>
      </c>
      <c r="C14" s="3" t="s">
        <v>88</v>
      </c>
      <c r="D14" s="4" t="s">
        <v>11</v>
      </c>
      <c r="E14" s="4" t="s">
        <v>14</v>
      </c>
      <c r="F14" s="4" t="s">
        <v>11</v>
      </c>
      <c r="G14" s="4" t="s">
        <v>11</v>
      </c>
      <c r="H14" s="5">
        <v>80</v>
      </c>
      <c r="I14" s="7" t="s">
        <v>73</v>
      </c>
    </row>
    <row r="15" spans="1:9" ht="21.75" customHeight="1" x14ac:dyDescent="0.25">
      <c r="A15" s="2">
        <v>12</v>
      </c>
      <c r="B15" s="3" t="s">
        <v>67</v>
      </c>
      <c r="C15" s="3" t="s">
        <v>89</v>
      </c>
      <c r="D15" s="9" t="s">
        <v>11</v>
      </c>
      <c r="E15" s="8" t="s">
        <v>14</v>
      </c>
      <c r="F15" s="4" t="s">
        <v>11</v>
      </c>
      <c r="G15" s="11" t="s">
        <v>14</v>
      </c>
      <c r="H15" s="5">
        <v>60</v>
      </c>
      <c r="I15" s="7" t="s">
        <v>90</v>
      </c>
    </row>
    <row r="16" spans="1:9" ht="21.75" customHeight="1" x14ac:dyDescent="0.25">
      <c r="A16" s="2">
        <v>13</v>
      </c>
      <c r="B16" s="7"/>
      <c r="C16" s="7"/>
      <c r="D16" s="9" t="s">
        <v>14</v>
      </c>
      <c r="E16" s="4" t="s">
        <v>13</v>
      </c>
      <c r="F16" s="4" t="s">
        <v>11</v>
      </c>
      <c r="G16" s="11" t="s">
        <v>17</v>
      </c>
      <c r="H16" s="10">
        <v>40</v>
      </c>
      <c r="I16" s="7"/>
    </row>
    <row r="17" spans="1:9" ht="21.75" customHeight="1" x14ac:dyDescent="0.25">
      <c r="A17" s="6">
        <v>14</v>
      </c>
      <c r="B17" s="3"/>
      <c r="C17" s="3"/>
      <c r="D17" s="4" t="s">
        <v>14</v>
      </c>
      <c r="E17" s="9" t="s">
        <v>14</v>
      </c>
      <c r="F17" s="4" t="s">
        <v>14</v>
      </c>
      <c r="G17" s="4" t="s">
        <v>17</v>
      </c>
      <c r="H17" s="5">
        <v>80</v>
      </c>
      <c r="I17" s="3"/>
    </row>
    <row r="18" spans="1:9" ht="21.75" customHeight="1" x14ac:dyDescent="0.25">
      <c r="A18" s="2">
        <v>15</v>
      </c>
      <c r="B18" s="7"/>
      <c r="C18" s="7"/>
      <c r="D18" s="8" t="s">
        <v>14</v>
      </c>
      <c r="E18" s="4" t="s">
        <v>13</v>
      </c>
      <c r="F18" s="11" t="s">
        <v>27</v>
      </c>
      <c r="G18" s="11" t="s">
        <v>27</v>
      </c>
      <c r="H18" s="10">
        <v>40</v>
      </c>
      <c r="I18" s="7"/>
    </row>
    <row r="19" spans="1:9" ht="21.75" customHeight="1" x14ac:dyDescent="0.25">
      <c r="A19" s="2">
        <v>16</v>
      </c>
      <c r="B19" s="3"/>
      <c r="C19" s="3"/>
      <c r="D19" s="4" t="s">
        <v>11</v>
      </c>
      <c r="E19" s="4" t="s">
        <v>61</v>
      </c>
      <c r="F19" s="4" t="s">
        <v>11</v>
      </c>
      <c r="G19" s="4" t="s">
        <v>11</v>
      </c>
      <c r="H19" s="5">
        <v>30</v>
      </c>
      <c r="I19" s="3"/>
    </row>
    <row r="20" spans="1:9" ht="21.75" customHeight="1" x14ac:dyDescent="0.25">
      <c r="A20" s="6">
        <v>17</v>
      </c>
      <c r="B20" s="7"/>
      <c r="C20" s="7"/>
      <c r="D20" s="8" t="s">
        <v>14</v>
      </c>
      <c r="E20" s="4" t="s">
        <v>13</v>
      </c>
      <c r="F20" s="11" t="s">
        <v>27</v>
      </c>
      <c r="G20" s="11" t="s">
        <v>27</v>
      </c>
      <c r="H20" s="10">
        <v>40</v>
      </c>
      <c r="I20" s="7"/>
    </row>
    <row r="21" spans="1:9" ht="21.75" customHeight="1" x14ac:dyDescent="0.25">
      <c r="A21" s="2">
        <v>18</v>
      </c>
      <c r="B21" s="3"/>
      <c r="C21" s="3"/>
      <c r="D21" s="4" t="s">
        <v>11</v>
      </c>
      <c r="E21" s="4" t="s">
        <v>61</v>
      </c>
      <c r="F21" s="4" t="s">
        <v>11</v>
      </c>
      <c r="G21" s="4" t="s">
        <v>11</v>
      </c>
      <c r="H21" s="5">
        <v>30</v>
      </c>
      <c r="I21" s="3"/>
    </row>
    <row r="22" spans="1:9" ht="21.75" customHeight="1" x14ac:dyDescent="0.25">
      <c r="A22" s="2">
        <v>19</v>
      </c>
      <c r="B22" s="7"/>
      <c r="C22" s="7"/>
      <c r="D22" s="8" t="s">
        <v>14</v>
      </c>
      <c r="E22" s="4" t="s">
        <v>13</v>
      </c>
      <c r="F22" s="11" t="s">
        <v>27</v>
      </c>
      <c r="G22" s="11" t="s">
        <v>27</v>
      </c>
      <c r="H22" s="10">
        <v>40</v>
      </c>
      <c r="I22" s="7"/>
    </row>
    <row r="23" spans="1:9" ht="21.75" customHeight="1" x14ac:dyDescent="0.25">
      <c r="A23" s="6">
        <v>20</v>
      </c>
      <c r="B23" s="3"/>
      <c r="C23" s="3"/>
      <c r="D23" s="4" t="s">
        <v>11</v>
      </c>
      <c r="E23" s="4" t="s">
        <v>61</v>
      </c>
      <c r="F23" s="4" t="s">
        <v>11</v>
      </c>
      <c r="G23" s="4" t="s">
        <v>11</v>
      </c>
      <c r="H23" s="5">
        <v>30</v>
      </c>
      <c r="I23" s="3"/>
    </row>
    <row r="24" spans="1:9" ht="21.75" customHeight="1" x14ac:dyDescent="0.25">
      <c r="A24" s="2">
        <v>21</v>
      </c>
      <c r="B24" s="7"/>
      <c r="C24" s="7"/>
      <c r="D24" s="8" t="s">
        <v>14</v>
      </c>
      <c r="E24" s="4" t="s">
        <v>13</v>
      </c>
      <c r="F24" s="11" t="s">
        <v>27</v>
      </c>
      <c r="G24" s="11" t="s">
        <v>27</v>
      </c>
      <c r="H24" s="10">
        <v>40</v>
      </c>
      <c r="I24" s="7"/>
    </row>
    <row r="25" spans="1:9" ht="21.75" customHeight="1" x14ac:dyDescent="0.25">
      <c r="A25" s="2">
        <v>22</v>
      </c>
      <c r="B25" s="3"/>
      <c r="C25" s="3"/>
      <c r="D25" s="4" t="s">
        <v>11</v>
      </c>
      <c r="E25" s="4" t="s">
        <v>61</v>
      </c>
      <c r="F25" s="4" t="s">
        <v>11</v>
      </c>
      <c r="G25" s="4" t="s">
        <v>11</v>
      </c>
      <c r="H25" s="5">
        <v>30</v>
      </c>
      <c r="I25" s="3"/>
    </row>
    <row r="26" spans="1:9" ht="21.75" customHeight="1" x14ac:dyDescent="0.25">
      <c r="A26" s="6">
        <v>23</v>
      </c>
      <c r="B26" s="3"/>
      <c r="C26" s="3"/>
      <c r="D26" s="9" t="s">
        <v>14</v>
      </c>
      <c r="E26" s="8" t="s">
        <v>13</v>
      </c>
      <c r="F26" s="4" t="s">
        <v>11</v>
      </c>
      <c r="G26" s="11" t="s">
        <v>27</v>
      </c>
      <c r="H26" s="5">
        <v>20</v>
      </c>
      <c r="I26" s="3"/>
    </row>
    <row r="27" spans="1:9" ht="21.75" customHeight="1" x14ac:dyDescent="0.25">
      <c r="A27" s="2">
        <v>24</v>
      </c>
      <c r="B27" s="7"/>
      <c r="C27" s="7"/>
      <c r="D27" s="9" t="s">
        <v>14</v>
      </c>
      <c r="E27" s="4" t="s">
        <v>13</v>
      </c>
      <c r="F27" s="4" t="s">
        <v>11</v>
      </c>
      <c r="G27" s="11" t="s">
        <v>17</v>
      </c>
      <c r="H27" s="10">
        <v>40</v>
      </c>
      <c r="I27" s="7"/>
    </row>
    <row r="28" spans="1:9" ht="21.75" customHeight="1" x14ac:dyDescent="0.25">
      <c r="A28" s="2">
        <v>25</v>
      </c>
      <c r="B28" s="3"/>
      <c r="C28" s="3"/>
      <c r="D28" s="4" t="s">
        <v>14</v>
      </c>
      <c r="E28" s="9" t="s">
        <v>14</v>
      </c>
      <c r="F28" s="4" t="s">
        <v>14</v>
      </c>
      <c r="G28" s="4" t="s">
        <v>17</v>
      </c>
      <c r="H28" s="5">
        <v>80</v>
      </c>
      <c r="I28" s="3"/>
    </row>
    <row r="29" spans="1:9" ht="21.75" customHeight="1" x14ac:dyDescent="0.25">
      <c r="A29" s="6">
        <v>26</v>
      </c>
      <c r="B29" s="7"/>
      <c r="C29" s="7"/>
      <c r="D29" s="8" t="s">
        <v>14</v>
      </c>
      <c r="E29" s="4" t="s">
        <v>13</v>
      </c>
      <c r="F29" s="11" t="s">
        <v>27</v>
      </c>
      <c r="G29" s="11" t="s">
        <v>27</v>
      </c>
      <c r="H29" s="10">
        <v>40</v>
      </c>
      <c r="I29" s="7"/>
    </row>
    <row r="30" spans="1:9" ht="21.75" customHeight="1" x14ac:dyDescent="0.25">
      <c r="A30" s="2">
        <v>27</v>
      </c>
      <c r="B30" s="3"/>
      <c r="C30" s="3"/>
      <c r="D30" s="4" t="s">
        <v>11</v>
      </c>
      <c r="E30" s="4" t="s">
        <v>61</v>
      </c>
      <c r="F30" s="4" t="s">
        <v>11</v>
      </c>
      <c r="G30" s="4" t="s">
        <v>11</v>
      </c>
      <c r="H30" s="5">
        <v>30</v>
      </c>
      <c r="I30" s="3"/>
    </row>
    <row r="31" spans="1:9" ht="21.75" customHeight="1" x14ac:dyDescent="0.25">
      <c r="A31" s="2">
        <v>28</v>
      </c>
      <c r="B31" s="7"/>
      <c r="C31" s="7"/>
      <c r="D31" s="8" t="s">
        <v>14</v>
      </c>
      <c r="E31" s="4" t="s">
        <v>13</v>
      </c>
      <c r="F31" s="11" t="s">
        <v>27</v>
      </c>
      <c r="G31" s="11" t="s">
        <v>27</v>
      </c>
      <c r="H31" s="10">
        <v>40</v>
      </c>
      <c r="I31" s="7"/>
    </row>
    <row r="32" spans="1:9" ht="21.75" customHeight="1" x14ac:dyDescent="0.25">
      <c r="A32" s="6">
        <v>29</v>
      </c>
      <c r="B32" s="3"/>
      <c r="C32" s="3"/>
      <c r="D32" s="4" t="s">
        <v>11</v>
      </c>
      <c r="E32" s="4" t="s">
        <v>61</v>
      </c>
      <c r="F32" s="4" t="s">
        <v>11</v>
      </c>
      <c r="G32" s="4" t="s">
        <v>11</v>
      </c>
      <c r="H32" s="5">
        <v>30</v>
      </c>
      <c r="I32" s="3"/>
    </row>
    <row r="33" spans="1:9" ht="21.75" customHeight="1" x14ac:dyDescent="0.25">
      <c r="A33" s="2">
        <v>30</v>
      </c>
      <c r="B33" s="7"/>
      <c r="C33" s="7"/>
      <c r="D33" s="8" t="s">
        <v>14</v>
      </c>
      <c r="E33" s="4" t="s">
        <v>13</v>
      </c>
      <c r="F33" s="11" t="s">
        <v>27</v>
      </c>
      <c r="G33" s="11" t="s">
        <v>27</v>
      </c>
      <c r="H33" s="10">
        <v>40</v>
      </c>
      <c r="I33" s="7"/>
    </row>
    <row r="34" spans="1:9" ht="21.75" customHeight="1" x14ac:dyDescent="0.25">
      <c r="A34" s="2">
        <v>31</v>
      </c>
      <c r="B34" s="3"/>
      <c r="C34" s="3"/>
      <c r="D34" s="4" t="s">
        <v>11</v>
      </c>
      <c r="E34" s="4" t="s">
        <v>61</v>
      </c>
      <c r="F34" s="4" t="s">
        <v>11</v>
      </c>
      <c r="G34" s="4" t="s">
        <v>11</v>
      </c>
      <c r="H34" s="5">
        <v>30</v>
      </c>
      <c r="I34" s="3"/>
    </row>
    <row r="35" spans="1:9" ht="21.75" customHeight="1" x14ac:dyDescent="0.25">
      <c r="A35" s="6">
        <v>32</v>
      </c>
      <c r="B35" s="7"/>
      <c r="C35" s="7"/>
      <c r="D35" s="8" t="s">
        <v>14</v>
      </c>
      <c r="E35" s="4" t="s">
        <v>13</v>
      </c>
      <c r="F35" s="11" t="s">
        <v>27</v>
      </c>
      <c r="G35" s="11" t="s">
        <v>27</v>
      </c>
      <c r="H35" s="10">
        <v>40</v>
      </c>
      <c r="I35" s="7"/>
    </row>
    <row r="36" spans="1:9" ht="21.75" customHeight="1" x14ac:dyDescent="0.25">
      <c r="A36" s="2">
        <v>33</v>
      </c>
      <c r="B36" s="3"/>
      <c r="C36" s="3"/>
      <c r="D36" s="4" t="s">
        <v>11</v>
      </c>
      <c r="E36" s="4" t="s">
        <v>61</v>
      </c>
      <c r="F36" s="4" t="s">
        <v>11</v>
      </c>
      <c r="G36" s="4" t="s">
        <v>11</v>
      </c>
      <c r="H36" s="5">
        <v>30</v>
      </c>
      <c r="I36" s="3"/>
    </row>
    <row r="37" spans="1:9" ht="21.75" customHeight="1" x14ac:dyDescent="0.25">
      <c r="A37" s="2">
        <v>34</v>
      </c>
      <c r="B37" s="3"/>
      <c r="C37" s="3"/>
      <c r="D37" s="9" t="s">
        <v>14</v>
      </c>
      <c r="E37" s="8" t="s">
        <v>13</v>
      </c>
      <c r="F37" s="4" t="s">
        <v>11</v>
      </c>
      <c r="G37" s="11" t="s">
        <v>27</v>
      </c>
      <c r="H37" s="5">
        <v>20</v>
      </c>
      <c r="I37" s="3"/>
    </row>
    <row r="38" spans="1:9" ht="21.75" customHeight="1" x14ac:dyDescent="0.25">
      <c r="A38" s="6">
        <v>35</v>
      </c>
      <c r="B38" s="7"/>
      <c r="C38" s="7"/>
      <c r="D38" s="9" t="s">
        <v>14</v>
      </c>
      <c r="E38" s="4" t="s">
        <v>13</v>
      </c>
      <c r="F38" s="4" t="s">
        <v>11</v>
      </c>
      <c r="G38" s="11" t="s">
        <v>17</v>
      </c>
      <c r="H38" s="10">
        <v>40</v>
      </c>
      <c r="I38" s="7"/>
    </row>
    <row r="39" spans="1:9" ht="21.75" customHeight="1" x14ac:dyDescent="0.25">
      <c r="A39" s="2">
        <v>36</v>
      </c>
      <c r="B39" s="3"/>
      <c r="C39" s="3"/>
      <c r="D39" s="4" t="s">
        <v>14</v>
      </c>
      <c r="E39" s="9" t="s">
        <v>14</v>
      </c>
      <c r="F39" s="4" t="s">
        <v>14</v>
      </c>
      <c r="G39" s="4" t="s">
        <v>17</v>
      </c>
      <c r="H39" s="5">
        <v>80</v>
      </c>
      <c r="I39" s="3"/>
    </row>
    <row r="40" spans="1:9" ht="21.75" customHeight="1" x14ac:dyDescent="0.25">
      <c r="A40" s="2">
        <v>37</v>
      </c>
      <c r="B40" s="7"/>
      <c r="C40" s="7"/>
      <c r="D40" s="8" t="s">
        <v>14</v>
      </c>
      <c r="E40" s="4" t="s">
        <v>13</v>
      </c>
      <c r="F40" s="11" t="s">
        <v>27</v>
      </c>
      <c r="G40" s="11" t="s">
        <v>27</v>
      </c>
      <c r="H40" s="10">
        <v>40</v>
      </c>
      <c r="I40" s="7"/>
    </row>
    <row r="41" spans="1:9" ht="21.75" customHeight="1" x14ac:dyDescent="0.25">
      <c r="A41" s="6">
        <v>38</v>
      </c>
      <c r="B41" s="3"/>
      <c r="C41" s="3"/>
      <c r="D41" s="4" t="s">
        <v>11</v>
      </c>
      <c r="E41" s="4" t="s">
        <v>61</v>
      </c>
      <c r="F41" s="4" t="s">
        <v>11</v>
      </c>
      <c r="G41" s="4" t="s">
        <v>11</v>
      </c>
      <c r="H41" s="5">
        <v>30</v>
      </c>
      <c r="I41" s="3"/>
    </row>
    <row r="42" spans="1:9" ht="21.75" customHeight="1" x14ac:dyDescent="0.25">
      <c r="A42" s="2">
        <v>39</v>
      </c>
      <c r="B42" s="7"/>
      <c r="C42" s="7"/>
      <c r="D42" s="8" t="s">
        <v>14</v>
      </c>
      <c r="E42" s="4" t="s">
        <v>13</v>
      </c>
      <c r="F42" s="11" t="s">
        <v>27</v>
      </c>
      <c r="G42" s="11" t="s">
        <v>27</v>
      </c>
      <c r="H42" s="10">
        <v>40</v>
      </c>
      <c r="I42" s="7"/>
    </row>
    <row r="43" spans="1:9" ht="21.75" customHeight="1" x14ac:dyDescent="0.25">
      <c r="A43" s="2">
        <v>40</v>
      </c>
      <c r="B43" s="3"/>
      <c r="C43" s="3"/>
      <c r="D43" s="4" t="s">
        <v>11</v>
      </c>
      <c r="E43" s="4" t="s">
        <v>61</v>
      </c>
      <c r="F43" s="4" t="s">
        <v>11</v>
      </c>
      <c r="G43" s="4" t="s">
        <v>11</v>
      </c>
      <c r="H43" s="5">
        <v>30</v>
      </c>
      <c r="I43" s="3"/>
    </row>
    <row r="44" spans="1:9" ht="21.75" customHeight="1" x14ac:dyDescent="0.25">
      <c r="A44" s="6">
        <v>41</v>
      </c>
      <c r="B44" s="7"/>
      <c r="C44" s="7"/>
      <c r="D44" s="8" t="s">
        <v>14</v>
      </c>
      <c r="E44" s="4" t="s">
        <v>13</v>
      </c>
      <c r="F44" s="11" t="s">
        <v>27</v>
      </c>
      <c r="G44" s="11" t="s">
        <v>27</v>
      </c>
      <c r="H44" s="10">
        <v>40</v>
      </c>
      <c r="I44" s="7"/>
    </row>
    <row r="45" spans="1:9" ht="21.75" customHeight="1" x14ac:dyDescent="0.25">
      <c r="A45" s="2">
        <v>42</v>
      </c>
      <c r="B45" s="3"/>
      <c r="C45" s="3"/>
      <c r="D45" s="4" t="s">
        <v>11</v>
      </c>
      <c r="E45" s="4" t="s">
        <v>61</v>
      </c>
      <c r="F45" s="4" t="s">
        <v>11</v>
      </c>
      <c r="G45" s="4" t="s">
        <v>11</v>
      </c>
      <c r="H45" s="5">
        <v>30</v>
      </c>
      <c r="I45" s="3"/>
    </row>
    <row r="46" spans="1:9" ht="21.75" customHeight="1" x14ac:dyDescent="0.25">
      <c r="A46" s="2">
        <v>43</v>
      </c>
      <c r="B46" s="7"/>
      <c r="C46" s="7"/>
      <c r="D46" s="8" t="s">
        <v>14</v>
      </c>
      <c r="E46" s="4" t="s">
        <v>13</v>
      </c>
      <c r="F46" s="11" t="s">
        <v>27</v>
      </c>
      <c r="G46" s="11" t="s">
        <v>27</v>
      </c>
      <c r="H46" s="10">
        <v>40</v>
      </c>
      <c r="I46" s="7"/>
    </row>
    <row r="47" spans="1:9" ht="21.75" customHeight="1" x14ac:dyDescent="0.25">
      <c r="A47" s="6">
        <v>44</v>
      </c>
      <c r="B47" s="3"/>
      <c r="C47" s="3"/>
      <c r="D47" s="4" t="s">
        <v>11</v>
      </c>
      <c r="E47" s="4" t="s">
        <v>61</v>
      </c>
      <c r="F47" s="4" t="s">
        <v>11</v>
      </c>
      <c r="G47" s="4" t="s">
        <v>11</v>
      </c>
      <c r="H47" s="5">
        <v>30</v>
      </c>
      <c r="I47" s="3"/>
    </row>
    <row r="48" spans="1:9" ht="24" customHeight="1" x14ac:dyDescent="0.25">
      <c r="A48" s="28"/>
      <c r="B48" s="28"/>
      <c r="C48" s="28"/>
      <c r="D48" s="28"/>
      <c r="E48" s="28"/>
      <c r="F48" s="28"/>
      <c r="G48" s="28"/>
      <c r="H48" s="12">
        <f>SUM(H4:H8)</f>
        <v>210</v>
      </c>
      <c r="I48" s="13"/>
    </row>
  </sheetData>
  <mergeCells count="3">
    <mergeCell ref="A1:I1"/>
    <mergeCell ref="A2:I2"/>
    <mergeCell ref="A48:G48"/>
  </mergeCells>
  <dataValidations count="1">
    <dataValidation type="list" allowBlank="1" showInputMessage="1" showErrorMessage="1" errorTitle="Невірний стан" error="Оберіть значення зі списку" promptTitle="Стан компонента" prompt="Оберіть: ✅ Хорошее / ⚠️ Среднее / ❌ Плохое / 🔧 На ремонт / ❌ Нет" sqref="D4:G47" xr:uid="{00000000-0002-0000-0200-000000000000}">
      <formula1>"✅ Хорошее,⚠️ Среднее,❌ Плохое,🔧 На ремонт,❌ Нет"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39C12"/>
  </sheetPr>
  <dimension ref="A1:E14"/>
  <sheetViews>
    <sheetView showGridLines="0" zoomScaleNormal="100" workbookViewId="0">
      <selection sqref="A1:E1"/>
    </sheetView>
  </sheetViews>
  <sheetFormatPr defaultColWidth="8.7109375" defaultRowHeight="15" x14ac:dyDescent="0.25"/>
  <cols>
    <col min="1" max="1" width="28" customWidth="1"/>
    <col min="2" max="2" width="18" customWidth="1"/>
    <col min="3" max="3" width="22" customWidth="1"/>
    <col min="4" max="4" width="18" customWidth="1"/>
    <col min="5" max="5" width="20" customWidth="1"/>
  </cols>
  <sheetData>
    <row r="1" spans="1:5" ht="36" customHeight="1" x14ac:dyDescent="0.25">
      <c r="A1" s="26" t="s">
        <v>29</v>
      </c>
      <c r="B1" s="26"/>
      <c r="C1" s="26"/>
      <c r="D1" s="26"/>
      <c r="E1" s="26"/>
    </row>
    <row r="2" spans="1:5" ht="18" customHeight="1" x14ac:dyDescent="0.25">
      <c r="A2" s="27" t="str">
        <f ca="1">TEXT(TODAY(),"DD.MM.YYYY")</f>
        <v>12.05.YYYY</v>
      </c>
      <c r="B2" s="27"/>
      <c r="C2" s="27"/>
      <c r="D2" s="27"/>
      <c r="E2" s="27"/>
    </row>
    <row r="3" spans="1:5" ht="31.5" customHeight="1" x14ac:dyDescent="0.25">
      <c r="A3" s="1" t="s">
        <v>30</v>
      </c>
      <c r="B3" s="1" t="s">
        <v>31</v>
      </c>
      <c r="C3" s="1" t="s">
        <v>32</v>
      </c>
      <c r="D3" s="1" t="s">
        <v>33</v>
      </c>
      <c r="E3" s="1" t="s">
        <v>8</v>
      </c>
    </row>
    <row r="4" spans="1:5" ht="24" customHeight="1" x14ac:dyDescent="0.25">
      <c r="A4" s="14" t="s">
        <v>34</v>
      </c>
      <c r="B4" s="15">
        <f>COUNTA('💻 Ноутбуки'!B4:B8)</f>
        <v>5</v>
      </c>
      <c r="C4" s="16">
        <f>'💻 Ноутбуки'!I87</f>
        <v>2400</v>
      </c>
      <c r="D4" s="16">
        <f>IF(B4&gt;0,C4/B4,0)</f>
        <v>480</v>
      </c>
      <c r="E4" s="17" t="str">
        <f>IF(D4&gt;=10000,"✅ Хорошее",IF(D4&gt;=5000,"⚠️ Среднее","❌ Плохое"))</f>
        <v>❌ Плохое</v>
      </c>
    </row>
    <row r="5" spans="1:5" ht="24" customHeight="1" x14ac:dyDescent="0.25">
      <c r="A5" s="18" t="s">
        <v>35</v>
      </c>
      <c r="B5" s="19">
        <f>COUNTA('📱 Телефони'!B4:B8)</f>
        <v>0</v>
      </c>
      <c r="C5" s="20">
        <f>'📱 Телефони'!M69</f>
        <v>42000</v>
      </c>
      <c r="D5" s="20">
        <f>IF(B5&gt;0,C5/B5,0)</f>
        <v>0</v>
      </c>
      <c r="E5" s="21" t="str">
        <f>IF(D5&gt;=30000,"✅ Хорошее",IF(D5&gt;=15000,"⚠️ Среднее","❌ Плохое"))</f>
        <v>❌ Плохое</v>
      </c>
    </row>
    <row r="6" spans="1:5" ht="24" customHeight="1" x14ac:dyDescent="0.25">
      <c r="A6" s="14" t="s">
        <v>36</v>
      </c>
      <c r="B6" s="15">
        <f>COUNTA('📟 Планшети'!B4:B8)</f>
        <v>5</v>
      </c>
      <c r="C6" s="16">
        <f>'📟 Планшети'!H48</f>
        <v>210</v>
      </c>
      <c r="D6" s="16">
        <f>IF(B6&gt;0,C6/B6,0)</f>
        <v>42</v>
      </c>
      <c r="E6" s="17" t="str">
        <f>IF(D6&gt;=40000,"✅ Хорошее",IF(D6&gt;=20000,"⚠️ Среднее","❌ Плохое"))</f>
        <v>❌ Плохое</v>
      </c>
    </row>
    <row r="7" spans="1:5" ht="25.5" customHeight="1" x14ac:dyDescent="0.25">
      <c r="A7" s="22" t="s">
        <v>37</v>
      </c>
      <c r="B7" s="23">
        <f>SUM(B4:B6)</f>
        <v>10</v>
      </c>
      <c r="C7" s="24">
        <f>SUM(C4:C6)</f>
        <v>44610</v>
      </c>
      <c r="D7" s="24">
        <f>IF(B7&gt;0,C7/B7,0)</f>
        <v>4461</v>
      </c>
      <c r="E7" s="22"/>
    </row>
    <row r="9" spans="1:5" ht="9.75" customHeight="1" x14ac:dyDescent="0.25"/>
    <row r="10" spans="1:5" ht="15" customHeight="1" x14ac:dyDescent="0.25">
      <c r="A10" s="25" t="s">
        <v>38</v>
      </c>
    </row>
    <row r="11" spans="1:5" ht="19.5" customHeight="1" x14ac:dyDescent="0.25">
      <c r="A11" s="32" t="s">
        <v>39</v>
      </c>
      <c r="B11" s="32"/>
      <c r="C11" s="32"/>
      <c r="D11" s="32"/>
      <c r="E11" s="32"/>
    </row>
    <row r="12" spans="1:5" ht="19.5" customHeight="1" x14ac:dyDescent="0.25">
      <c r="A12" s="33" t="s">
        <v>40</v>
      </c>
      <c r="B12" s="33"/>
      <c r="C12" s="33"/>
      <c r="D12" s="33"/>
      <c r="E12" s="33"/>
    </row>
    <row r="13" spans="1:5" ht="19.5" customHeight="1" x14ac:dyDescent="0.25">
      <c r="A13" s="34" t="s">
        <v>41</v>
      </c>
      <c r="B13" s="34"/>
      <c r="C13" s="34"/>
      <c r="D13" s="34"/>
      <c r="E13" s="34"/>
    </row>
    <row r="14" spans="1:5" ht="19.5" customHeight="1" x14ac:dyDescent="0.25">
      <c r="A14" s="31" t="s">
        <v>42</v>
      </c>
      <c r="B14" s="31"/>
      <c r="C14" s="31"/>
      <c r="D14" s="31"/>
      <c r="E14" s="31"/>
    </row>
  </sheetData>
  <mergeCells count="6">
    <mergeCell ref="A14:E14"/>
    <mergeCell ref="A1:E1"/>
    <mergeCell ref="A2:E2"/>
    <mergeCell ref="A11:E11"/>
    <mergeCell ref="A12:E12"/>
    <mergeCell ref="A13:E1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💻 Ноутбуки</vt:lpstr>
      <vt:lpstr>📱 Телефони</vt:lpstr>
      <vt:lpstr>📟 Планшети</vt:lpstr>
      <vt:lpstr>📊 Зведення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iPhoenix</cp:lastModifiedBy>
  <cp:revision>0</cp:revision>
  <dcterms:created xsi:type="dcterms:W3CDTF">2026-05-11T18:38:15Z</dcterms:created>
  <dcterms:modified xsi:type="dcterms:W3CDTF">2026-05-12T18:54:14Z</dcterms:modified>
  <dc:language>en-US</dc:language>
</cp:coreProperties>
</file>